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refreshAllConnections="1"/>
  <mc:AlternateContent xmlns:mc="http://schemas.openxmlformats.org/markup-compatibility/2006">
    <mc:Choice Requires="x15">
      <x15ac:absPath xmlns:x15ac="http://schemas.microsoft.com/office/spreadsheetml/2010/11/ac" url="E:\Master\Unity\Survival-Shooter\Tools\BenchmarkAnalysis\"/>
    </mc:Choice>
  </mc:AlternateContent>
  <xr:revisionPtr revIDLastSave="0" documentId="8_{39B66A64-379C-48E1-A441-F0436F664E59}" xr6:coauthVersionLast="47" xr6:coauthVersionMax="47" xr10:uidLastSave="{00000000-0000-0000-0000-000000000000}"/>
  <bookViews>
    <workbookView xWindow="390" yWindow="390" windowWidth="28800" windowHeight="15345" activeTab="1" xr2:uid="{00000000-000D-0000-FFFF-FFFF00000000}"/>
  </bookViews>
  <sheets>
    <sheet name="Pregled" sheetId="1" r:id="rId1"/>
    <sheet name="Podesavanja" sheetId="2" r:id="rId2"/>
    <sheet name="Testovi" sheetId="3" r:id="rId3"/>
    <sheet name="Frejmovi" sheetId="4" r:id="rId4"/>
  </sheets>
  <definedNames>
    <definedName name="DataReady">Podesavanja!$D$14</definedName>
    <definedName name="ExternalData_1" localSheetId="3" hidden="1">Frejmovi!$A$5:$D$6</definedName>
    <definedName name="ExternalData_1" localSheetId="2" hidden="1">Testovi!$A$5:$Z$6</definedName>
    <definedName name="ImportFolder">Podesavanja!$D$6</definedName>
    <definedName name="RunIDs">tblRuns[RunID]</definedName>
    <definedName name="SelectedFolder">Podesavanja!$D$40</definedName>
    <definedName name="SelectedRun">Pregled!$D$4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2" l="1"/>
  <c r="B74" i="1"/>
  <c r="B73" i="1"/>
  <c r="D69" i="1"/>
  <c r="H68" i="1"/>
  <c r="D68" i="1"/>
  <c r="D5" i="1"/>
  <c r="D40" i="2"/>
  <c r="D6" i="2"/>
  <c r="D14" i="2" l="1"/>
  <c r="F135" i="1" s="1"/>
  <c r="F106" i="1" l="1"/>
  <c r="I106" i="1" s="1"/>
  <c r="F110" i="1"/>
  <c r="I110" i="1" s="1"/>
  <c r="H110" i="1" s="1"/>
  <c r="F114" i="1"/>
  <c r="I114" i="1" s="1"/>
  <c r="H114" i="1" s="1"/>
  <c r="F119" i="1"/>
  <c r="I119" i="1" s="1"/>
  <c r="G119" i="1" s="1"/>
  <c r="F76" i="1"/>
  <c r="I76" i="1" s="1"/>
  <c r="G76" i="1" s="1"/>
  <c r="F128" i="1"/>
  <c r="I128" i="1" s="1"/>
  <c r="G128" i="1" s="1"/>
  <c r="F140" i="1"/>
  <c r="I140" i="1" s="1"/>
  <c r="H140" i="1" s="1"/>
  <c r="F113" i="1"/>
  <c r="I113" i="1" s="1"/>
  <c r="G113" i="1" s="1"/>
  <c r="F122" i="1"/>
  <c r="I122" i="1" s="1"/>
  <c r="H122" i="1" s="1"/>
  <c r="F167" i="1"/>
  <c r="I167" i="1" s="1"/>
  <c r="H167" i="1" s="1"/>
  <c r="F124" i="1"/>
  <c r="I124" i="1" s="1"/>
  <c r="H124" i="1" s="1"/>
  <c r="F132" i="1"/>
  <c r="I132" i="1" s="1"/>
  <c r="G132" i="1" s="1"/>
  <c r="F144" i="1"/>
  <c r="I144" i="1" s="1"/>
  <c r="G144" i="1" s="1"/>
  <c r="F117" i="1"/>
  <c r="I117" i="1" s="1"/>
  <c r="H117" i="1" s="1"/>
  <c r="F190" i="1"/>
  <c r="I190" i="1" s="1"/>
  <c r="G190" i="1" s="1"/>
  <c r="F174" i="1"/>
  <c r="I174" i="1" s="1"/>
  <c r="H174" i="1" s="1"/>
  <c r="F166" i="1"/>
  <c r="I166" i="1" s="1"/>
  <c r="F178" i="1"/>
  <c r="I178" i="1" s="1"/>
  <c r="H178" i="1" s="1"/>
  <c r="G10" i="1"/>
  <c r="F170" i="1"/>
  <c r="I170" i="1" s="1"/>
  <c r="G170" i="1" s="1"/>
  <c r="F89" i="1"/>
  <c r="I89" i="1" s="1"/>
  <c r="H89" i="1" s="1"/>
  <c r="F97" i="1"/>
  <c r="I97" i="1" s="1"/>
  <c r="G97" i="1" s="1"/>
  <c r="F186" i="1"/>
  <c r="I186" i="1" s="1"/>
  <c r="H186" i="1" s="1"/>
  <c r="F121" i="1"/>
  <c r="I121" i="1" s="1"/>
  <c r="G121" i="1" s="1"/>
  <c r="F73" i="1"/>
  <c r="I73" i="1" s="1"/>
  <c r="H73" i="1" s="1"/>
  <c r="F93" i="1"/>
  <c r="I93" i="1" s="1"/>
  <c r="G93" i="1" s="1"/>
  <c r="F115" i="1"/>
  <c r="I115" i="1" s="1"/>
  <c r="H115" i="1" s="1"/>
  <c r="F192" i="1"/>
  <c r="I192" i="1" s="1"/>
  <c r="H192" i="1" s="1"/>
  <c r="F77" i="1"/>
  <c r="I77" i="1" s="1"/>
  <c r="H77" i="1" s="1"/>
  <c r="F159" i="1"/>
  <c r="I159" i="1" s="1"/>
  <c r="H159" i="1" s="1"/>
  <c r="F10" i="1"/>
  <c r="F151" i="1"/>
  <c r="I151" i="1" s="1"/>
  <c r="H151" i="1" s="1"/>
  <c r="F109" i="1"/>
  <c r="I109" i="1" s="1"/>
  <c r="G109" i="1" s="1"/>
  <c r="F163" i="1"/>
  <c r="I163" i="1" s="1"/>
  <c r="H163" i="1" s="1"/>
  <c r="F81" i="1"/>
  <c r="I81" i="1" s="1"/>
  <c r="H81" i="1" s="1"/>
  <c r="C14" i="1"/>
  <c r="H14" i="1" s="1"/>
  <c r="F101" i="1"/>
  <c r="I101" i="1" s="1"/>
  <c r="G101" i="1" s="1"/>
  <c r="F139" i="1"/>
  <c r="I139" i="1" s="1"/>
  <c r="H139" i="1" s="1"/>
  <c r="F98" i="1"/>
  <c r="I98" i="1" s="1"/>
  <c r="H98" i="1" s="1"/>
  <c r="F103" i="1"/>
  <c r="F136" i="1"/>
  <c r="I136" i="1" s="1"/>
  <c r="H136" i="1" s="1"/>
  <c r="F102" i="1"/>
  <c r="I102" i="1" s="1"/>
  <c r="H102" i="1" s="1"/>
  <c r="F99" i="1"/>
  <c r="I99" i="1" s="1"/>
  <c r="F80" i="1"/>
  <c r="I80" i="1" s="1"/>
  <c r="G80" i="1" s="1"/>
  <c r="F191" i="1"/>
  <c r="I191" i="1" s="1"/>
  <c r="H191" i="1" s="1"/>
  <c r="F87" i="1"/>
  <c r="I87" i="1" s="1"/>
  <c r="F107" i="1"/>
  <c r="I107" i="1" s="1"/>
  <c r="G107" i="1" s="1"/>
  <c r="F187" i="1"/>
  <c r="I187" i="1" s="1"/>
  <c r="G187" i="1" s="1"/>
  <c r="F137" i="1"/>
  <c r="I137" i="1" s="1"/>
  <c r="G137" i="1" s="1"/>
  <c r="F84" i="1"/>
  <c r="I84" i="1" s="1"/>
  <c r="H84" i="1" s="1"/>
  <c r="F130" i="1"/>
  <c r="I130" i="1" s="1"/>
  <c r="H130" i="1" s="1"/>
  <c r="F153" i="1"/>
  <c r="I153" i="1" s="1"/>
  <c r="G153" i="1" s="1"/>
  <c r="F85" i="1"/>
  <c r="I85" i="1" s="1"/>
  <c r="G85" i="1" s="1"/>
  <c r="F105" i="1"/>
  <c r="I105" i="1" s="1"/>
  <c r="H105" i="1" s="1"/>
  <c r="F169" i="1"/>
  <c r="I169" i="1" s="1"/>
  <c r="G169" i="1" s="1"/>
  <c r="F108" i="1"/>
  <c r="I108" i="1" s="1"/>
  <c r="G108" i="1" s="1"/>
  <c r="C15" i="1"/>
  <c r="F131" i="1"/>
  <c r="I131" i="1" s="1"/>
  <c r="H131" i="1" s="1"/>
  <c r="F133" i="1"/>
  <c r="I133" i="1" s="1"/>
  <c r="G133" i="1" s="1"/>
  <c r="C10" i="1"/>
  <c r="H10" i="1" s="1"/>
  <c r="F149" i="1"/>
  <c r="I149" i="1" s="1"/>
  <c r="G149" i="1" s="1"/>
  <c r="D10" i="1"/>
  <c r="F160" i="1"/>
  <c r="I160" i="1" s="1"/>
  <c r="G160" i="1" s="1"/>
  <c r="F134" i="1"/>
  <c r="I134" i="1" s="1"/>
  <c r="H134" i="1" s="1"/>
  <c r="F157" i="1"/>
  <c r="I157" i="1" s="1"/>
  <c r="G157" i="1" s="1"/>
  <c r="B10" i="1"/>
  <c r="L78" i="1" s="1"/>
  <c r="F168" i="1"/>
  <c r="I168" i="1" s="1"/>
  <c r="G168" i="1" s="1"/>
  <c r="F125" i="1"/>
  <c r="I125" i="1" s="1"/>
  <c r="H125" i="1" s="1"/>
  <c r="F104" i="1"/>
  <c r="I104" i="1" s="1"/>
  <c r="G104" i="1" s="1"/>
  <c r="F78" i="1"/>
  <c r="I78" i="1" s="1"/>
  <c r="H78" i="1" s="1"/>
  <c r="F79" i="1"/>
  <c r="I79" i="1" s="1"/>
  <c r="H79" i="1" s="1"/>
  <c r="F86" i="1"/>
  <c r="I86" i="1" s="1"/>
  <c r="H86" i="1" s="1"/>
  <c r="E10" i="1"/>
  <c r="F155" i="1"/>
  <c r="I155" i="1" s="1"/>
  <c r="H155" i="1" s="1"/>
  <c r="F126" i="1"/>
  <c r="I126" i="1" s="1"/>
  <c r="H126" i="1" s="1"/>
  <c r="F152" i="1"/>
  <c r="I152" i="1" s="1"/>
  <c r="G152" i="1" s="1"/>
  <c r="I103" i="1"/>
  <c r="H103" i="1" s="1"/>
  <c r="F111" i="1"/>
  <c r="I111" i="1" s="1"/>
  <c r="H111" i="1" s="1"/>
  <c r="F164" i="1"/>
  <c r="I164" i="1" s="1"/>
  <c r="G164" i="1" s="1"/>
  <c r="F138" i="1"/>
  <c r="I138" i="1" s="1"/>
  <c r="H138" i="1" s="1"/>
  <c r="F100" i="1"/>
  <c r="I100" i="1" s="1"/>
  <c r="H100" i="1" s="1"/>
  <c r="F74" i="1"/>
  <c r="I74" i="1" s="1"/>
  <c r="H74" i="1" s="1"/>
  <c r="F173" i="1"/>
  <c r="I173" i="1" s="1"/>
  <c r="G173" i="1" s="1"/>
  <c r="F146" i="1"/>
  <c r="I146" i="1" s="1"/>
  <c r="H146" i="1" s="1"/>
  <c r="F127" i="1"/>
  <c r="I127" i="1" s="1"/>
  <c r="H127" i="1" s="1"/>
  <c r="F176" i="1"/>
  <c r="I176" i="1" s="1"/>
  <c r="G176" i="1" s="1"/>
  <c r="F150" i="1"/>
  <c r="I150" i="1" s="1"/>
  <c r="H150" i="1" s="1"/>
  <c r="I135" i="1"/>
  <c r="G135" i="1" s="1"/>
  <c r="F181" i="1"/>
  <c r="I181" i="1" s="1"/>
  <c r="G181" i="1" s="1"/>
  <c r="F123" i="1"/>
  <c r="I123" i="1" s="1"/>
  <c r="G123" i="1" s="1"/>
  <c r="F116" i="1"/>
  <c r="I116" i="1" s="1"/>
  <c r="G116" i="1" s="1"/>
  <c r="F185" i="1"/>
  <c r="I185" i="1" s="1"/>
  <c r="H185" i="1" s="1"/>
  <c r="F90" i="1"/>
  <c r="I90" i="1" s="1"/>
  <c r="G90" i="1" s="1"/>
  <c r="F158" i="1"/>
  <c r="I158" i="1" s="1"/>
  <c r="H158" i="1" s="1"/>
  <c r="F171" i="1"/>
  <c r="I171" i="1" s="1"/>
  <c r="H171" i="1" s="1"/>
  <c r="F147" i="1"/>
  <c r="I147" i="1" s="1"/>
  <c r="H147" i="1" s="1"/>
  <c r="F148" i="1"/>
  <c r="I148" i="1" s="1"/>
  <c r="G148" i="1" s="1"/>
  <c r="F175" i="1"/>
  <c r="I175" i="1" s="1"/>
  <c r="H175" i="1" s="1"/>
  <c r="F145" i="1"/>
  <c r="I145" i="1" s="1"/>
  <c r="H145" i="1" s="1"/>
  <c r="F88" i="1"/>
  <c r="I88" i="1" s="1"/>
  <c r="G88" i="1" s="1"/>
  <c r="F161" i="1"/>
  <c r="I161" i="1" s="1"/>
  <c r="H161" i="1" s="1"/>
  <c r="F96" i="1"/>
  <c r="I96" i="1" s="1"/>
  <c r="H96" i="1" s="1"/>
  <c r="F83" i="1"/>
  <c r="I83" i="1" s="1"/>
  <c r="H83" i="1" s="1"/>
  <c r="F142" i="1"/>
  <c r="I142" i="1" s="1"/>
  <c r="G142" i="1" s="1"/>
  <c r="F183" i="1"/>
  <c r="I183" i="1" s="1"/>
  <c r="H183" i="1" s="1"/>
  <c r="F172" i="1"/>
  <c r="I172" i="1" s="1"/>
  <c r="H172" i="1" s="1"/>
  <c r="F165" i="1"/>
  <c r="I165" i="1" s="1"/>
  <c r="G165" i="1" s="1"/>
  <c r="F177" i="1"/>
  <c r="I177" i="1" s="1"/>
  <c r="H177" i="1" s="1"/>
  <c r="F82" i="1"/>
  <c r="I82" i="1" s="1"/>
  <c r="H82" i="1" s="1"/>
  <c r="F95" i="1"/>
  <c r="I95" i="1" s="1"/>
  <c r="H95" i="1" s="1"/>
  <c r="F112" i="1"/>
  <c r="I112" i="1" s="1"/>
  <c r="H112" i="1" s="1"/>
  <c r="F180" i="1"/>
  <c r="I180" i="1" s="1"/>
  <c r="G180" i="1" s="1"/>
  <c r="F154" i="1"/>
  <c r="I154" i="1" s="1"/>
  <c r="H154" i="1" s="1"/>
  <c r="F184" i="1"/>
  <c r="I184" i="1" s="1"/>
  <c r="G184" i="1" s="1"/>
  <c r="F120" i="1"/>
  <c r="I120" i="1" s="1"/>
  <c r="G120" i="1" s="1"/>
  <c r="F188" i="1"/>
  <c r="I188" i="1" s="1"/>
  <c r="G188" i="1" s="1"/>
  <c r="F189" i="1"/>
  <c r="I189" i="1" s="1"/>
  <c r="H189" i="1" s="1"/>
  <c r="F94" i="1"/>
  <c r="I94" i="1" s="1"/>
  <c r="H94" i="1" s="1"/>
  <c r="F162" i="1"/>
  <c r="I162" i="1" s="1"/>
  <c r="G162" i="1" s="1"/>
  <c r="F91" i="1"/>
  <c r="I91" i="1" s="1"/>
  <c r="G91" i="1" s="1"/>
  <c r="F179" i="1"/>
  <c r="I179" i="1" s="1"/>
  <c r="G179" i="1" s="1"/>
  <c r="D6" i="1"/>
  <c r="F75" i="1"/>
  <c r="I75" i="1" s="1"/>
  <c r="H75" i="1" s="1"/>
  <c r="F92" i="1"/>
  <c r="I92" i="1" s="1"/>
  <c r="H92" i="1" s="1"/>
  <c r="F156" i="1"/>
  <c r="I156" i="1" s="1"/>
  <c r="H156" i="1" s="1"/>
  <c r="F141" i="1"/>
  <c r="I141" i="1" s="1"/>
  <c r="G141" i="1" s="1"/>
  <c r="F129" i="1"/>
  <c r="I129" i="1" s="1"/>
  <c r="G129" i="1" s="1"/>
  <c r="F118" i="1"/>
  <c r="I118" i="1" s="1"/>
  <c r="H118" i="1" s="1"/>
  <c r="F182" i="1"/>
  <c r="I182" i="1" s="1"/>
  <c r="G182" i="1" s="1"/>
  <c r="F143" i="1"/>
  <c r="I143" i="1" s="1"/>
  <c r="H143" i="1" s="1"/>
  <c r="L77" i="1"/>
  <c r="H166" i="1"/>
  <c r="G166" i="1"/>
  <c r="H106" i="1"/>
  <c r="G106" i="1"/>
  <c r="L79" i="1"/>
  <c r="L73" i="1"/>
  <c r="L74" i="1"/>
  <c r="I10" i="1"/>
  <c r="L75" i="1"/>
  <c r="G178" i="1"/>
  <c r="L80" i="1"/>
  <c r="H76" i="1" l="1"/>
  <c r="H119" i="1"/>
  <c r="B16" i="1"/>
  <c r="G114" i="1"/>
  <c r="C73" i="1"/>
  <c r="L76" i="1"/>
  <c r="D73" i="1"/>
  <c r="D14" i="1"/>
  <c r="G110" i="1"/>
  <c r="G122" i="1"/>
  <c r="E14" i="1"/>
  <c r="F14" i="1"/>
  <c r="G14" i="1"/>
  <c r="G147" i="1"/>
  <c r="G89" i="1"/>
  <c r="H113" i="1"/>
  <c r="G103" i="1"/>
  <c r="H152" i="1"/>
  <c r="G174" i="1"/>
  <c r="G73" i="1"/>
  <c r="H121" i="1"/>
  <c r="G155" i="1"/>
  <c r="H90" i="1"/>
  <c r="H123" i="1"/>
  <c r="G191" i="1"/>
  <c r="G151" i="1"/>
  <c r="G145" i="1"/>
  <c r="G126" i="1"/>
  <c r="G161" i="1"/>
  <c r="G185" i="1"/>
  <c r="H184" i="1"/>
  <c r="H88" i="1"/>
  <c r="G87" i="1"/>
  <c r="H87" i="1"/>
  <c r="H99" i="1"/>
  <c r="G99" i="1"/>
  <c r="H129" i="1"/>
  <c r="G140" i="1"/>
  <c r="G186" i="1"/>
  <c r="H132" i="1"/>
  <c r="H128" i="1"/>
  <c r="H109" i="1"/>
  <c r="G134" i="1"/>
  <c r="G83" i="1"/>
  <c r="H170" i="1"/>
  <c r="H160" i="1"/>
  <c r="H182" i="1"/>
  <c r="G143" i="1"/>
  <c r="G96" i="1"/>
  <c r="H187" i="1"/>
  <c r="G124" i="1"/>
  <c r="H190" i="1"/>
  <c r="G138" i="1"/>
  <c r="G117" i="1"/>
  <c r="H144" i="1"/>
  <c r="G139" i="1"/>
  <c r="G167" i="1"/>
  <c r="H93" i="1"/>
  <c r="G81" i="1"/>
  <c r="G171" i="1"/>
  <c r="H85" i="1"/>
  <c r="H107" i="1"/>
  <c r="H133" i="1"/>
  <c r="H97" i="1"/>
  <c r="G163" i="1"/>
  <c r="H101" i="1"/>
  <c r="H181" i="1"/>
  <c r="G95" i="1"/>
  <c r="H148" i="1"/>
  <c r="G82" i="1"/>
  <c r="G177" i="1"/>
  <c r="G98" i="1"/>
  <c r="H137" i="1"/>
  <c r="H179" i="1"/>
  <c r="G77" i="1"/>
  <c r="G154" i="1"/>
  <c r="G102" i="1"/>
  <c r="G175" i="1"/>
  <c r="G130" i="1"/>
  <c r="G136" i="1"/>
  <c r="G156" i="1"/>
  <c r="H180" i="1"/>
  <c r="G159" i="1"/>
  <c r="H157" i="1"/>
  <c r="G192" i="1"/>
  <c r="H104" i="1"/>
  <c r="G111" i="1"/>
  <c r="H176" i="1"/>
  <c r="G94" i="1"/>
  <c r="H173" i="1"/>
  <c r="H142" i="1"/>
  <c r="G125" i="1"/>
  <c r="G74" i="1"/>
  <c r="G115" i="1"/>
  <c r="G189" i="1"/>
  <c r="G158" i="1"/>
  <c r="H120" i="1"/>
  <c r="H80" i="1"/>
  <c r="H141" i="1"/>
  <c r="H164" i="1"/>
  <c r="H149" i="1"/>
  <c r="H116" i="1"/>
  <c r="G118" i="1"/>
  <c r="G84" i="1"/>
  <c r="H168" i="1"/>
  <c r="H162" i="1"/>
  <c r="G100" i="1"/>
  <c r="H188" i="1"/>
  <c r="G183" i="1"/>
  <c r="G105" i="1"/>
  <c r="G172" i="1"/>
  <c r="G112" i="1"/>
  <c r="D15" i="1"/>
  <c r="C74" i="1" s="1"/>
  <c r="H15" i="1"/>
  <c r="G15" i="1"/>
  <c r="D74" i="1" s="1"/>
  <c r="F15" i="1"/>
  <c r="G92" i="1"/>
  <c r="G127" i="1"/>
  <c r="G78" i="1"/>
  <c r="I15" i="1"/>
  <c r="H135" i="1"/>
  <c r="H165" i="1"/>
  <c r="G150" i="1"/>
  <c r="G79" i="1"/>
  <c r="G86" i="1"/>
  <c r="G146" i="1"/>
  <c r="H108" i="1"/>
  <c r="G75" i="1"/>
  <c r="G131" i="1"/>
  <c r="H91" i="1"/>
  <c r="H169" i="1"/>
  <c r="H153" i="1"/>
  <c r="E15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062B28C-D2D7-4301-BA14-A40E462365D2}" keepAlive="1" name="Connection" type="5" refreshedVersion="8" saveData="1">
    <dbPr connection="Provider=Microsoft.Mashup.OleDb.1;Data Source=$Workbook$;Location=BenchmarkRuns;Extended Properties=&quot;&quot;" command="SELECT * FROM [BenchmarkRuns]"/>
  </connection>
  <connection id="2" xr16:uid="{14D1C504-3BFD-4F44-A908-A51E79E5A2AD}" keepAlive="1" name="Connection1" type="5" refreshedVersion="8" saveData="1">
    <dbPr connection="Provider=Microsoft.Mashup.OleDb.1;Data Source=$Workbook$;Location=BenchmarkFrames;Extended Properties=&quot;&quot;" command="SELECT * FROM [BenchmarkFrames]"/>
  </connection>
</connections>
</file>

<file path=xl/sharedStrings.xml><?xml version="1.0" encoding="utf-8"?>
<sst xmlns="http://schemas.openxmlformats.org/spreadsheetml/2006/main" count="109" uniqueCount="100">
  <si>
    <t>Survival Shooter — benchmark rezultati</t>
  </si>
  <si>
    <t>Izabrani test</t>
  </si>
  <si>
    <t>Scenario / režim</t>
  </si>
  <si>
    <t>Poslednje osvežavanje</t>
  </si>
  <si>
    <t>Detalji izabranog testa</t>
  </si>
  <si>
    <t>Frejmovi</t>
  </si>
  <si>
    <t>Prosek (ms)</t>
  </si>
  <si>
    <t>Medijana (ms)</t>
  </si>
  <si>
    <t>P95 (ms)</t>
  </si>
  <si>
    <t>P99 (ms)</t>
  </si>
  <si>
    <t>Maks. (ms)</t>
  </si>
  <si>
    <t>FPS</t>
  </si>
  <si>
    <t>Preko 16,67 ms</t>
  </si>
  <si>
    <t>Poređenje ponavljanja sa istim zabeleženim podešavanjima</t>
  </si>
  <si>
    <t>Alokacija</t>
  </si>
  <si>
    <t>Ponavljanja</t>
  </si>
  <si>
    <t>Prosek FPS</t>
  </si>
  <si>
    <t>SD FPS</t>
  </si>
  <si>
    <t>Prosek P95 (ms)</t>
  </si>
  <si>
    <t>Prosek P99 (ms)</t>
  </si>
  <si>
    <t>Promena FPS</t>
  </si>
  <si>
    <t>InstantiateDestroy</t>
  </si>
  <si>
    <t>Pool</t>
  </si>
  <si>
    <t>P95/P99 u poređenju su proseci percentila pojedinačnih testova. SD je između ponavljanja.</t>
  </si>
  <si>
    <t>Uvoz: Podesavanja. Promeni izabrani test, zatim klikni „Učitaj izabrani test“.</t>
  </si>
  <si>
    <t>Grafikoni i tabela mogu se izvesti kao PNG dugmetom „Izvezi za Word“.</t>
  </si>
  <si>
    <t>Vreme (s)</t>
  </si>
  <si>
    <t>Maksimum (ms)</t>
  </si>
  <si>
    <t>Interval (ms)</t>
  </si>
  <si>
    <t>Udeo</t>
  </si>
  <si>
    <t>Uvoz i korišćenje šablona</t>
  </si>
  <si>
    <t>Glavni folder</t>
  </si>
  <si>
    <t>Podfolder (opciono)</t>
  </si>
  <si>
    <t>Efektivni folder</t>
  </si>
  <si>
    <t>Folder za slike</t>
  </si>
  <si>
    <t>Poslednji uvoz</t>
  </si>
  <si>
    <t>Status uvoza</t>
  </si>
  <si>
    <t>Učitan test</t>
  </si>
  <si>
    <t>Rad sa rezultatima</t>
  </si>
  <si>
    <t>1. Izaberi folder</t>
  </si>
  <si>
    <t>2. Osveži rezultate</t>
  </si>
  <si>
    <t>Klikni Osveži rezultate. Postojeći uvoz se zamenjuje i ne duplira merenja.</t>
  </si>
  <si>
    <t>3. Izaberi test</t>
  </si>
  <si>
    <t>Izaberi ID na Pregled!D4, pa klikni Učitaj izabrani test.</t>
  </si>
  <si>
    <t>4. Izvezi slike</t>
  </si>
  <si>
    <t>Klikni Izvezi za Word. Nastaje poseban folder sa četiri grafikona i tabelom.</t>
  </si>
  <si>
    <t>Lokacija izvoza</t>
  </si>
  <si>
    <t>D8 prazno: slike se čuvaju pored radne sveske u folderu Slike_za_Word.</t>
  </si>
  <si>
    <t>Čuvanje varijanti</t>
  </si>
  <si>
    <t>Makroi</t>
  </si>
  <si>
    <t>Ako Excel zatraži, omogući makroe samo za ovu radnu svesku.</t>
  </si>
  <si>
    <t>Metod obračuna</t>
  </si>
  <si>
    <t>Izvor</t>
  </si>
  <si>
    <t>Učitavaju se session.json i measured.csv; izvorni fajlovi se ne menjaju.</t>
  </si>
  <si>
    <t>Validnost</t>
  </si>
  <si>
    <t>Samo Completed sa validnim pozitivnim FrameTime vrednostima i usaglašenim brojem frejmova.</t>
  </si>
  <si>
    <t>1000 / prosečno FrameTime u ms. Ovo nije prosek trenutnih vrednosti 1000 / FrameTime.</t>
  </si>
  <si>
    <t>Percentili</t>
  </si>
  <si>
    <t>PERCENTILE.INC: P95/P99 označava granicu ispod koje je 95%/99% frejmova.</t>
  </si>
  <si>
    <t>Svako izvršavanje ima jednaku težinu. SD FPS se prikazuje tek za najmanje dva testa.</t>
  </si>
  <si>
    <t>Poređenje</t>
  </si>
  <si>
    <t>Grupa uključuje scenario, scenu, replay putanju, konfiguraciju, AI/culling i limite FPS-a.</t>
  </si>
  <si>
    <t>Nepoznata podešavanja</t>
  </si>
  <si>
    <t>Stari izveštaji bez ključnih metapodataka ne spajaju se u zajedničku grupu.</t>
  </si>
  <si>
    <t>Spoljni uslovi</t>
  </si>
  <si>
    <t>Hardver, rezolucija i sadržaj replay fajla nisu potpuno identifikovani u postojećim metapodacima.</t>
  </si>
  <si>
    <t>Organizacija</t>
  </si>
  <si>
    <t>Za uporediva ponavljanja koristi poseban podfolder i ista spoljna podešavanja.</t>
  </si>
  <si>
    <t>Vremenski grafikon</t>
  </si>
  <si>
    <t>Prikazuje prosek i maksimum u 120 vremenskih intervala; pojedinačni frejmovi su u Frejmovi.</t>
  </si>
  <si>
    <t>Prazni rezultati</t>
  </si>
  <si>
    <t>Nedostajući režim ili ponavljanja ostaju prazni; ne prikazuju se kao nula.</t>
  </si>
  <si>
    <t>Status</t>
  </si>
  <si>
    <t>Testovi sadrži i neuspele/odbačene sesije sa razlogom. Promene foldera traže osvežavanje.</t>
  </si>
  <si>
    <t>Rezultati pojedinačnih izvršavanja</t>
  </si>
  <si>
    <t>Izvor: measured.csv + session.json iz foldera na listu Podesavanja.</t>
  </si>
  <si>
    <t>Frejmovi izabranog testa</t>
  </si>
  <si>
    <t>Uvezen folder</t>
  </si>
  <si>
    <t>Poslednji izvoz</t>
  </si>
  <si>
    <t>Podaci spremni</t>
  </si>
  <si>
    <t>Izvor izabranog testa</t>
  </si>
  <si>
    <t>Grupa za poredjenje</t>
  </si>
  <si>
    <t>Trajanje testa (s)</t>
  </si>
  <si>
    <t>Izabrana scena / kategorija</t>
  </si>
  <si>
    <t>Proverite iste spoljne uslove: hardver, rezoluciju i neizmenjen replay.</t>
  </si>
  <si>
    <t>Prosecan FPS</t>
  </si>
  <si>
    <t>Donja granica</t>
  </si>
  <si>
    <t>Gornja granica</t>
  </si>
  <si>
    <t>0-1</t>
  </si>
  <si>
    <t>8-16.67</t>
  </si>
  <si>
    <t>16.67-33.33</t>
  </si>
  <si>
    <t>33.33-50</t>
  </si>
  <si>
    <t>Preko 50</t>
  </si>
  <si>
    <t>Podaci za grafikone (formule)</t>
  </si>
  <si>
    <t>1-2</t>
  </si>
  <si>
    <t>2-4</t>
  </si>
  <si>
    <t>4-8</t>
  </si>
  <si>
    <t>Izaberi folder i osvezi rezultate</t>
  </si>
  <si>
    <t>Izaberi glavni folder. U D5 po potrebi upisi podfolder, na primer AIOFF.</t>
  </si>
  <si>
    <t>Novu svesku prvo sacuvaj kao .xlsm u folderu za izvestaje. Cist .xltm ostaje sablon.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</si>
</sst>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dd/mm/yyyy\ hh:mm:ss"/>
    <numFmt numFmtId="166" formatCode="0.000"/>
    <numFmt numFmtId="167" formatCode="0.0000"/>
    <numFmt numFmtId="168" formatCode="0.000%"/>
  </numFmts>
  <fonts count="6">
    <font>
      <sz val="11"/>
      <name val="Carlito"/>
    </font>
    <font>
      <sz val="8"/>
      <name val="Carlito"/>
    </font>
    <font>
      <sz val="10"/>
      <color rgb="FF24374B"/>
      <name val="Arial"/>
      <family val="2"/>
    </font>
    <font>
      <b/>
      <sz val="16"/>
      <color rgb="FF24374B"/>
      <name val="Arial"/>
      <family val="2"/>
    </font>
    <font>
      <b/>
      <sz val="10"/>
      <color rgb="FFFFFFFF"/>
      <name val="Arial"/>
      <family val="2"/>
    </font>
    <font>
      <sz val="1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0C2"/>
      </patternFill>
    </fill>
    <fill>
      <patternFill patternType="solid">
        <fgColor rgb="FF24374B"/>
      </patternFill>
    </fill>
    <fill>
      <patternFill patternType="solid">
        <fgColor rgb="FFFFF0C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67" fontId="0" fillId="0" borderId="0" xfId="0" applyNumberFormat="1"/>
    <xf numFmtId="1" fontId="0" fillId="0" borderId="0" xfId="0" applyNumberFormat="1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2" fillId="2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 wrapText="1"/>
    </xf>
    <xf numFmtId="2" fontId="2" fillId="0" borderId="0" xfId="0" applyNumberFormat="1" applyFont="1" applyAlignment="1">
      <alignment vertical="center"/>
    </xf>
    <xf numFmtId="164" fontId="2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2" fontId="5" fillId="0" borderId="0" xfId="0" applyNumberFormat="1" applyFont="1" applyAlignment="1">
      <alignment vertical="center"/>
    </xf>
    <xf numFmtId="164" fontId="5" fillId="0" borderId="0" xfId="0" applyNumberFormat="1" applyFont="1" applyAlignment="1">
      <alignment vertical="center"/>
    </xf>
    <xf numFmtId="0" fontId="2" fillId="4" borderId="0" xfId="0" applyFont="1" applyFill="1" applyAlignment="1">
      <alignment vertical="center" wrapText="1"/>
    </xf>
    <xf numFmtId="0" fontId="2" fillId="0" borderId="0" xfId="0" applyFont="1" applyAlignment="1">
      <alignment vertical="center" wrapText="1"/>
    </xf>
    <xf numFmtId="165" fontId="2" fillId="0" borderId="0" xfId="0" applyNumberFormat="1" applyFont="1" applyAlignment="1">
      <alignment vertical="center" wrapText="1"/>
    </xf>
    <xf numFmtId="0" fontId="4" fillId="3" borderId="0" xfId="0" applyFont="1" applyFill="1" applyAlignment="1">
      <alignment vertical="center" wrapText="1"/>
    </xf>
    <xf numFmtId="166" fontId="2" fillId="0" borderId="0" xfId="0" applyNumberFormat="1" applyFont="1" applyAlignment="1">
      <alignment vertical="center"/>
    </xf>
    <xf numFmtId="167" fontId="2" fillId="0" borderId="0" xfId="0" applyNumberFormat="1" applyFont="1" applyAlignment="1">
      <alignment vertical="center"/>
    </xf>
    <xf numFmtId="1" fontId="2" fillId="0" borderId="0" xfId="0" applyNumberFormat="1" applyFont="1" applyAlignment="1">
      <alignment vertical="center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vertical="center"/>
    </xf>
    <xf numFmtId="167" fontId="4" fillId="0" borderId="0" xfId="0" applyNumberFormat="1" applyFont="1" applyAlignment="1">
      <alignment vertical="center"/>
    </xf>
    <xf numFmtId="1" fontId="4" fillId="0" borderId="0" xfId="0" applyNumberFormat="1" applyFont="1" applyAlignment="1">
      <alignment vertical="center"/>
    </xf>
    <xf numFmtId="168" fontId="2" fillId="0" borderId="0" xfId="0" applyNumberFormat="1" applyFont="1" applyAlignment="1">
      <alignment vertical="center"/>
    </xf>
    <xf numFmtId="49" fontId="2" fillId="0" borderId="0" xfId="0" applyNumberFormat="1" applyFont="1" applyAlignment="1">
      <alignment vertical="center"/>
    </xf>
    <xf numFmtId="49" fontId="5" fillId="0" borderId="0" xfId="0" applyNumberFormat="1" applyFont="1" applyAlignment="1">
      <alignment vertical="center"/>
    </xf>
  </cellXfs>
  <cellStyles count="1">
    <cellStyle name="Normal" xfId="0" builtinId="0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numFmt numFmtId="167" formatCode="0.00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numFmt numFmtId="167" formatCode="0.00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numFmt numFmtId="166" formatCode="0.0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numFmt numFmtId="166" formatCode="0.0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numFmt numFmtId="166" formatCode="0.0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numFmt numFmtId="166" formatCode="0.0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numFmt numFmtId="166" formatCode="0.0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numFmt numFmtId="166" formatCode="0.0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numFmt numFmtId="166" formatCode="0.0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alignment horizontal="general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family val="2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c:style val="2"/>
  <c:chart>
    <c:title>
      <c:tx>
        <c:rich>
          <a:bodyPr/>
          <a:lstStyle/>
          <a:p>
            <a:r>
              <a:rPr lang="en-US"/>
              <a:t>Prosecan FPS po alokaciji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Prosecan FPS po alokaciji</c:v>
          </c:tx>
          <c:spPr>
            <a:solidFill>
              <a:srgbClr val="3667A5"/>
            </a:solidFill>
          </c:spPr>
          <c:invertIfNegative val="0"/>
          <c:cat>
            <c:strRef>
              <c:f>Pregled!$B$73:$B$74</c:f>
              <c:strCache>
                <c:ptCount val="2"/>
                <c:pt idx="0">
                  <c:v>InstantiateDestroy</c:v>
                </c:pt>
                <c:pt idx="1">
                  <c:v>Pool</c:v>
                </c:pt>
              </c:strCache>
            </c:strRef>
          </c:cat>
          <c:val>
            <c:numRef>
              <c:f>Pregled!$C$73:$C$74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65-4F78-9D6E-4DCB45CE9C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txPr>
          <a:bodyPr anchorCtr="1"/>
          <a:lstStyle/>
          <a:p>
            <a:pPr>
              <a:defRPr sz="1000">
                <a:latin typeface="Arial"/>
                <a:ea typeface="Arial"/>
                <a:cs typeface="Arial"/>
              </a:defRPr>
            </a:pPr>
            <a:endParaRPr lang="sr-Latn-RS"/>
          </a:p>
        </c:txPr>
        <c:crossAx val="48672768"/>
        <c:crosses val="autoZero"/>
        <c:auto val="1"/>
        <c:lblAlgn val="ctr"/>
        <c:lblOffset val="100"/>
        <c:noMultiLvlLbl val="1"/>
      </c:catAx>
      <c:valAx>
        <c:axId val="48672768"/>
        <c:scaling>
          <c:orientation val="minMax"/>
          <c:min val="0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txPr>
          <a:bodyPr anchorCtr="1"/>
          <a:lstStyle/>
          <a:p>
            <a:pPr>
              <a:defRPr sz="1000">
                <a:latin typeface="Arial"/>
                <a:ea typeface="Arial"/>
                <a:cs typeface="Arial"/>
              </a:defRPr>
            </a:pPr>
            <a:endParaRPr lang="sr-Latn-RS"/>
          </a:p>
        </c:txPr>
        <c:crossAx val="48650112"/>
        <c:crosses val="autoZero"/>
        <c:crossBetween val="between"/>
      </c:valAx>
    </c:plotArea>
    <c:plotVisOnly val="1"/>
    <c:dispBlanksAs val="zero"/>
    <c:showDLblsOverMax val="1"/>
  </c:chart>
  <c:spPr>
    <a:solidFill>
      <a:srgbClr val="FFFFFF"/>
    </a:solidFill>
    <a:ln w="9525">
      <a:noFill/>
      <a:prstDash val="solid"/>
      <a:round/>
    </a:ln>
    <a:effectLst/>
    <a:extLst>
      <a:ext uri="{91240B29-F687-4F45-9708-019B960494DF}">
        <a14:hiddenLine xmlns:a14="http://schemas.microsoft.com/office/drawing/2010/main" w="9525">
          <a:solidFill>
            <a:srgbClr val="D9D9D9"/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c:style val="2"/>
  <c:chart>
    <c:title>
      <c:tx>
        <c:rich>
          <a:bodyPr/>
          <a:lstStyle/>
          <a:p>
            <a:r>
              <a:rPr lang="en-US"/>
              <a:t>Prosek P99 vremena frejma (ms)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Prosek P99 vremena frejma (ms)</c:v>
          </c:tx>
          <c:spPr>
            <a:solidFill>
              <a:srgbClr val="3667A5"/>
            </a:solidFill>
          </c:spPr>
          <c:invertIfNegative val="0"/>
          <c:cat>
            <c:strRef>
              <c:f>Pregled!$B$73:$B$74</c:f>
              <c:strCache>
                <c:ptCount val="2"/>
                <c:pt idx="0">
                  <c:v>InstantiateDestroy</c:v>
                </c:pt>
                <c:pt idx="1">
                  <c:v>Pool</c:v>
                </c:pt>
              </c:strCache>
            </c:strRef>
          </c:cat>
          <c:val>
            <c:numRef>
              <c:f>Pregled!$D$73:$D$74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C98-4C85-8110-5086AF481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txPr>
          <a:bodyPr anchorCtr="1"/>
          <a:lstStyle/>
          <a:p>
            <a:pPr>
              <a:defRPr sz="1000">
                <a:latin typeface="Arial"/>
                <a:ea typeface="Arial"/>
                <a:cs typeface="Arial"/>
              </a:defRPr>
            </a:pPr>
            <a:endParaRPr lang="sr-Latn-RS"/>
          </a:p>
        </c:txPr>
        <c:crossAx val="48672768"/>
        <c:crosses val="autoZero"/>
        <c:auto val="1"/>
        <c:lblAlgn val="ctr"/>
        <c:lblOffset val="100"/>
        <c:noMultiLvlLbl val="1"/>
      </c:catAx>
      <c:valAx>
        <c:axId val="48672768"/>
        <c:scaling>
          <c:orientation val="minMax"/>
          <c:min val="0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0.0" sourceLinked="0"/>
        <c:majorTickMark val="none"/>
        <c:minorTickMark val="none"/>
        <c:tickLblPos val="nextTo"/>
        <c:txPr>
          <a:bodyPr anchorCtr="1"/>
          <a:lstStyle/>
          <a:p>
            <a:pPr>
              <a:defRPr sz="1000">
                <a:latin typeface="Arial"/>
                <a:ea typeface="Arial"/>
                <a:cs typeface="Arial"/>
              </a:defRPr>
            </a:pPr>
            <a:endParaRPr lang="sr-Latn-RS"/>
          </a:p>
        </c:txPr>
        <c:crossAx val="48650112"/>
        <c:crosses val="autoZero"/>
        <c:crossBetween val="between"/>
      </c:valAx>
    </c:plotArea>
    <c:plotVisOnly val="1"/>
    <c:dispBlanksAs val="zero"/>
    <c:showDLblsOverMax val="1"/>
  </c:chart>
  <c:spPr>
    <a:solidFill>
      <a:srgbClr val="FFFFFF"/>
    </a:solidFill>
    <a:ln w="9525">
      <a:noFill/>
      <a:prstDash val="solid"/>
      <a:round/>
    </a:ln>
    <a:effectLst/>
    <a:extLst>
      <a:ext uri="{91240B29-F687-4F45-9708-019B960494DF}">
        <a14:hiddenLine xmlns:a14="http://schemas.microsoft.com/office/drawing/2010/main" w="9525">
          <a:solidFill>
            <a:srgbClr val="D9D9D9"/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c:style val="2"/>
  <c:chart>
    <c:title>
      <c:tx>
        <c:rich>
          <a:bodyPr/>
          <a:lstStyle/>
          <a:p>
            <a:r>
              <a:rPr lang="sr-Latn-RS"/>
              <a:t>Vreme frejma kroz test (ms)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Prosek</c:v>
          </c:tx>
          <c:spPr>
            <a:ln w="19050">
              <a:solidFill>
                <a:srgbClr val="3667A5"/>
              </a:solidFill>
            </a:ln>
          </c:spPr>
          <c:marker>
            <c:spPr>
              <a:ln w="19050">
                <a:solidFill>
                  <a:srgbClr val="3667A5"/>
                </a:solidFill>
              </a:ln>
            </c:spPr>
          </c:marker>
          <c:xVal>
            <c:numRef>
              <c:f>Pregled!$F$73:$F$192</c:f>
              <c:numCache>
                <c:formatCode>0.00</c:formatCode>
                <c:ptCount val="1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</c:numCache>
            </c:numRef>
          </c:xVal>
          <c:yVal>
            <c:numRef>
              <c:f>Pregled!$G$73:$G$192</c:f>
              <c:numCache>
                <c:formatCode>0.00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E1-4492-B363-8A9F3CD99449}"/>
            </c:ext>
          </c:extLst>
        </c:ser>
        <c:ser>
          <c:idx val="1"/>
          <c:order val="1"/>
          <c:tx>
            <c:v>Maksimum</c:v>
          </c:tx>
          <c:spPr>
            <a:ln w="19050">
              <a:solidFill>
                <a:srgbClr val="D88B38"/>
              </a:solidFill>
            </a:ln>
          </c:spPr>
          <c:marker>
            <c:spPr>
              <a:ln w="19050">
                <a:solidFill>
                  <a:srgbClr val="D88B38"/>
                </a:solidFill>
              </a:ln>
            </c:spPr>
          </c:marker>
          <c:xVal>
            <c:numRef>
              <c:f>Pregled!$F$73:$F$192</c:f>
              <c:numCache>
                <c:formatCode>0.00</c:formatCode>
                <c:ptCount val="1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</c:numCache>
            </c:numRef>
          </c:xVal>
          <c:yVal>
            <c:numRef>
              <c:f>Pregled!$H$73:$H$192</c:f>
              <c:numCache>
                <c:formatCode>0.00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FE1-4492-B363-8A9F3CD99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50112"/>
        <c:axId val="48672768"/>
      </c:scatterChart>
      <c:val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sr-Latn-RS"/>
                  <a:t>Vreme (s)</a:t>
                </a:r>
              </a:p>
            </c:rich>
          </c:tx>
          <c:overlay val="0"/>
        </c:title>
        <c:numFmt formatCode="0.0" sourceLinked="0"/>
        <c:majorTickMark val="none"/>
        <c:minorTickMark val="none"/>
        <c:tickLblPos val="nextTo"/>
        <c:txPr>
          <a:bodyPr anchorCtr="1"/>
          <a:lstStyle/>
          <a:p>
            <a:pPr>
              <a:defRPr sz="1000">
                <a:latin typeface="Arial"/>
                <a:ea typeface="Arial"/>
                <a:cs typeface="Arial"/>
              </a:defRPr>
            </a:pPr>
            <a:endParaRPr lang="sr-Latn-RS"/>
          </a:p>
        </c:txPr>
        <c:crossAx val="48672768"/>
        <c:crosses val="autoZero"/>
        <c:crossBetween val="midCat"/>
      </c:valAx>
      <c:valAx>
        <c:axId val="48672768"/>
        <c:scaling>
          <c:orientation val="minMax"/>
          <c:min val="0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0.0" sourceLinked="0"/>
        <c:majorTickMark val="none"/>
        <c:minorTickMark val="none"/>
        <c:tickLblPos val="nextTo"/>
        <c:txPr>
          <a:bodyPr anchorCtr="1"/>
          <a:lstStyle/>
          <a:p>
            <a:pPr>
              <a:defRPr sz="1000">
                <a:latin typeface="Arial"/>
                <a:ea typeface="Arial"/>
                <a:cs typeface="Arial"/>
              </a:defRPr>
            </a:pPr>
            <a:endParaRPr lang="sr-Latn-RS"/>
          </a:p>
        </c:txPr>
        <c:crossAx val="48650112"/>
        <c:crosses val="autoZero"/>
        <c:crossBetween val="midCat"/>
      </c:valAx>
    </c:plotArea>
    <c:legend>
      <c:legendPos val="b"/>
      <c:overlay val="0"/>
      <c:txPr>
        <a:bodyPr anchorCtr="1"/>
        <a:lstStyle/>
        <a:p>
          <a:pPr>
            <a:defRPr sz="825">
              <a:latin typeface="Arial"/>
              <a:ea typeface="Arial"/>
              <a:cs typeface="Arial"/>
            </a:defRPr>
          </a:pPr>
          <a:endParaRPr lang="sr-Latn-RS"/>
        </a:p>
      </c:txPr>
    </c:legend>
    <c:plotVisOnly val="1"/>
    <c:dispBlanksAs val="zero"/>
    <c:showDLblsOverMax val="1"/>
  </c:chart>
  <c:spPr>
    <a:solidFill>
      <a:srgbClr val="FFFFFF"/>
    </a:solidFill>
    <a:ln w="9525">
      <a:noFill/>
      <a:prstDash val="solid"/>
      <a:round/>
    </a:ln>
    <a:effectLst/>
    <a:extLst>
      <a:ext uri="{91240B29-F687-4F45-9708-019B960494DF}">
        <a14:hiddenLine xmlns:a14="http://schemas.microsoft.com/office/drawing/2010/main" w="9525">
          <a:solidFill>
            <a:srgbClr val="D9D9D9"/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c:style val="2"/>
  <c:chart>
    <c:title>
      <c:tx>
        <c:rich>
          <a:bodyPr/>
          <a:lstStyle/>
          <a:p>
            <a:r>
              <a:rPr lang="sr-Latn-RS"/>
              <a:t>Raspodela vremena frejma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Udeo frejmova</c:v>
          </c:tx>
          <c:spPr>
            <a:solidFill>
              <a:srgbClr val="3667A5"/>
            </a:solidFill>
          </c:spPr>
          <c:invertIfNegative val="0"/>
          <c:cat>
            <c:strRef>
              <c:f>Pregled!$K$73:$K$80</c:f>
              <c:strCache>
                <c:ptCount val="8"/>
                <c:pt idx="0">
                  <c:v>0-1</c:v>
                </c:pt>
                <c:pt idx="1">
                  <c:v>1-2</c:v>
                </c:pt>
                <c:pt idx="2">
                  <c:v>2-4</c:v>
                </c:pt>
                <c:pt idx="3">
                  <c:v>4-8</c:v>
                </c:pt>
                <c:pt idx="4">
                  <c:v>8-16.67</c:v>
                </c:pt>
                <c:pt idx="5">
                  <c:v>16.67-33.33</c:v>
                </c:pt>
                <c:pt idx="6">
                  <c:v>33.33-50</c:v>
                </c:pt>
                <c:pt idx="7">
                  <c:v>Preko 50</c:v>
                </c:pt>
              </c:strCache>
            </c:strRef>
          </c:cat>
          <c:val>
            <c:numRef>
              <c:f>Pregled!$L$73:$L$80</c:f>
              <c:numCache>
                <c:formatCode>0.0%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43-42D4-9042-9C79EED76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General" sourceLinked="0"/>
        <c:majorTickMark val="none"/>
        <c:minorTickMark val="none"/>
        <c:tickLblPos val="nextTo"/>
        <c:txPr>
          <a:bodyPr anchorCtr="1"/>
          <a:lstStyle/>
          <a:p>
            <a:pPr>
              <a:defRPr sz="1000">
                <a:latin typeface="Arial"/>
                <a:ea typeface="Arial"/>
                <a:cs typeface="Arial"/>
              </a:defRPr>
            </a:pPr>
            <a:endParaRPr lang="sr-Latn-RS"/>
          </a:p>
        </c:txPr>
        <c:crossAx val="48672768"/>
        <c:crosses val="autoZero"/>
        <c:auto val="0"/>
        <c:lblAlgn val="ctr"/>
        <c:lblOffset val="100"/>
        <c:noMultiLvlLbl val="1"/>
      </c:catAx>
      <c:valAx>
        <c:axId val="48672768"/>
        <c:scaling>
          <c:orientation val="minMax"/>
          <c:min val="0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0%" sourceLinked="0"/>
        <c:majorTickMark val="none"/>
        <c:minorTickMark val="none"/>
        <c:tickLblPos val="nextTo"/>
        <c:txPr>
          <a:bodyPr anchorCtr="1"/>
          <a:lstStyle/>
          <a:p>
            <a:pPr>
              <a:defRPr sz="1000">
                <a:latin typeface="Arial"/>
                <a:ea typeface="Arial"/>
                <a:cs typeface="Arial"/>
              </a:defRPr>
            </a:pPr>
            <a:endParaRPr lang="sr-Latn-RS"/>
          </a:p>
        </c:txPr>
        <c:crossAx val="48650112"/>
        <c:crosses val="autoZero"/>
        <c:crossBetween val="between"/>
      </c:valAx>
    </c:plotArea>
    <c:plotVisOnly val="1"/>
    <c:dispBlanksAs val="zero"/>
    <c:showDLblsOverMax val="1"/>
  </c:chart>
  <c:spPr>
    <a:solidFill>
      <a:srgbClr val="FFFFFF"/>
    </a:solidFill>
    <a:ln w="9525">
      <a:noFill/>
      <a:prstDash val="solid"/>
      <a:round/>
    </a:ln>
    <a:effectLst/>
    <a:extLst>
      <a:ext uri="{91240B29-F687-4F45-9708-019B960494DF}">
        <a14:hiddenLine xmlns:a14="http://schemas.microsoft.com/office/drawing/2010/main" w="9525">
          <a:solidFill>
            <a:srgbClr val="D9D9D9"/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19</xdr:row>
      <xdr:rowOff>0</xdr:rowOff>
    </xdr:from>
    <xdr:to>
      <xdr:col>7</xdr:col>
      <xdr:colOff>962025</xdr:colOff>
      <xdr:row>38</xdr:row>
      <xdr:rowOff>120650</xdr:rowOff>
    </xdr:to>
    <xdr:graphicFrame macro="">
      <xdr:nvGraphicFramePr>
        <xdr:cNvPr id="2" name="Ch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19</xdr:row>
      <xdr:rowOff>0</xdr:rowOff>
    </xdr:from>
    <xdr:to>
      <xdr:col>15</xdr:col>
      <xdr:colOff>685800</xdr:colOff>
      <xdr:row>38</xdr:row>
      <xdr:rowOff>120650</xdr:rowOff>
    </xdr:to>
    <xdr:graphicFrame macro="">
      <xdr:nvGraphicFramePr>
        <xdr:cNvPr id="3" name="Char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7</xdr:col>
      <xdr:colOff>962025</xdr:colOff>
      <xdr:row>62</xdr:row>
      <xdr:rowOff>120650</xdr:rowOff>
    </xdr:to>
    <xdr:graphicFrame macro="">
      <xdr:nvGraphicFramePr>
        <xdr:cNvPr id="4" name="Char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41</xdr:row>
      <xdr:rowOff>0</xdr:rowOff>
    </xdr:from>
    <xdr:to>
      <xdr:col>15</xdr:col>
      <xdr:colOff>685800</xdr:colOff>
      <xdr:row>62</xdr:row>
      <xdr:rowOff>120650</xdr:rowOff>
    </xdr:to>
    <xdr:graphicFrame macro="">
      <xdr:nvGraphicFramePr>
        <xdr:cNvPr id="5" name="Chart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33618</xdr:colOff>
      <xdr:row>3</xdr:row>
      <xdr:rowOff>3362</xdr:rowOff>
    </xdr:from>
    <xdr:to>
      <xdr:col>12</xdr:col>
      <xdr:colOff>448235</xdr:colOff>
      <xdr:row>4</xdr:row>
      <xdr:rowOff>137832</xdr:rowOff>
    </xdr:to>
    <xdr:sp macro="OsveziRezultat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3347DAFB-678A-3651-E1F7-081F4C36869B}"/>
            </a:ext>
          </a:extLst>
        </xdr:cNvPr>
        <xdr:cNvSpPr/>
      </xdr:nvSpPr>
      <xdr:spPr>
        <a:xfrm>
          <a:off x="11430000" y="742950"/>
          <a:ext cx="2095500" cy="381000"/>
        </a:xfrm>
        <a:prstGeom prst="roundRect">
          <a:avLst/>
        </a:prstGeom>
        <a:solidFill>
          <a:srgbClr val="2457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r-Latn-RS" sz="1100">
              <a:solidFill>
                <a:srgbClr val="FFFFFF"/>
              </a:solidFill>
              <a:latin typeface="Arial" panose="020B0604020202020204" pitchFamily="34" charset="0"/>
            </a:rPr>
            <a:t>Osvezi rezultate</a:t>
          </a:r>
        </a:p>
      </xdr:txBody>
    </xdr:sp>
    <xdr:clientData/>
  </xdr:twoCellAnchor>
  <xdr:twoCellAnchor>
    <xdr:from>
      <xdr:col>10</xdr:col>
      <xdr:colOff>33618</xdr:colOff>
      <xdr:row>5</xdr:row>
      <xdr:rowOff>5603</xdr:rowOff>
    </xdr:from>
    <xdr:to>
      <xdr:col>12</xdr:col>
      <xdr:colOff>448235</xdr:colOff>
      <xdr:row>6</xdr:row>
      <xdr:rowOff>140074</xdr:rowOff>
    </xdr:to>
    <xdr:sp macro="UcitajTest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5DD2EEC1-6703-720C-7B64-29C102544274}"/>
            </a:ext>
          </a:extLst>
        </xdr:cNvPr>
        <xdr:cNvSpPr/>
      </xdr:nvSpPr>
      <xdr:spPr>
        <a:xfrm>
          <a:off x="11430000" y="1238250"/>
          <a:ext cx="2095500" cy="381000"/>
        </a:xfrm>
        <a:prstGeom prst="roundRect">
          <a:avLst/>
        </a:prstGeom>
        <a:solidFill>
          <a:srgbClr val="2457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r-Latn-RS" sz="1100">
              <a:solidFill>
                <a:srgbClr val="FFFFFF"/>
              </a:solidFill>
              <a:latin typeface="Arial" panose="020B0604020202020204" pitchFamily="34" charset="0"/>
            </a:rPr>
            <a:t>Ucitaj izabrani test</a:t>
          </a:r>
        </a:p>
      </xdr:txBody>
    </xdr:sp>
    <xdr:clientData/>
  </xdr:twoCellAnchor>
  <xdr:twoCellAnchor>
    <xdr:from>
      <xdr:col>10</xdr:col>
      <xdr:colOff>33618</xdr:colOff>
      <xdr:row>8</xdr:row>
      <xdr:rowOff>8965</xdr:rowOff>
    </xdr:from>
    <xdr:to>
      <xdr:col>12</xdr:col>
      <xdr:colOff>448235</xdr:colOff>
      <xdr:row>8</xdr:row>
      <xdr:rowOff>389965</xdr:rowOff>
    </xdr:to>
    <xdr:sp macro="IzveziZaWord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5663573C-E761-8532-4D65-C9C759B93EC0}"/>
            </a:ext>
          </a:extLst>
        </xdr:cNvPr>
        <xdr:cNvSpPr/>
      </xdr:nvSpPr>
      <xdr:spPr>
        <a:xfrm>
          <a:off x="11430000" y="1981200"/>
          <a:ext cx="2095500" cy="381000"/>
        </a:xfrm>
        <a:prstGeom prst="roundRect">
          <a:avLst/>
        </a:prstGeom>
        <a:solidFill>
          <a:srgbClr val="2457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r-Latn-RS" sz="1100">
              <a:solidFill>
                <a:srgbClr val="FFFFFF"/>
              </a:solidFill>
              <a:latin typeface="Arial" panose="020B0604020202020204" pitchFamily="34" charset="0"/>
            </a:rPr>
            <a:t>Izvezi za Word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838200</xdr:colOff>
      <xdr:row>36</xdr:row>
      <xdr:rowOff>215153</xdr:rowOff>
    </xdr:from>
    <xdr:to>
      <xdr:col>1</xdr:col>
      <xdr:colOff>2093259</xdr:colOff>
      <xdr:row>38</xdr:row>
      <xdr:rowOff>103094</xdr:rowOff>
    </xdr:to>
    <xdr:sp macro="IzaberiFold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13D1066-8027-867F-86CC-5503DB8DA2FB}"/>
            </a:ext>
          </a:extLst>
        </xdr:cNvPr>
        <xdr:cNvSpPr/>
      </xdr:nvSpPr>
      <xdr:spPr>
        <a:xfrm>
          <a:off x="838200" y="13639800"/>
          <a:ext cx="2095500" cy="381000"/>
        </a:xfrm>
        <a:prstGeom prst="roundRect">
          <a:avLst/>
        </a:prstGeom>
        <a:solidFill>
          <a:srgbClr val="2457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r-Latn-RS" sz="1100">
              <a:solidFill>
                <a:srgbClr val="FFFFFF"/>
              </a:solidFill>
              <a:latin typeface="Arial" panose="020B0604020202020204" pitchFamily="34" charset="0"/>
            </a:rPr>
            <a:t>Izaberi folder</a:t>
          </a:r>
        </a:p>
      </xdr:txBody>
    </xdr:sp>
    <xdr:clientData/>
  </xdr:twoCellAnchor>
  <xdr:twoCellAnchor>
    <xdr:from>
      <xdr:col>2</xdr:col>
      <xdr:colOff>279026</xdr:colOff>
      <xdr:row>36</xdr:row>
      <xdr:rowOff>215153</xdr:rowOff>
    </xdr:from>
    <xdr:to>
      <xdr:col>3</xdr:col>
      <xdr:colOff>2094379</xdr:colOff>
      <xdr:row>38</xdr:row>
      <xdr:rowOff>103094</xdr:rowOff>
    </xdr:to>
    <xdr:sp macro="OsveziRezultat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F798CB0-DFA7-ECC8-CE7E-F4CB565239C7}"/>
            </a:ext>
          </a:extLst>
        </xdr:cNvPr>
        <xdr:cNvSpPr/>
      </xdr:nvSpPr>
      <xdr:spPr>
        <a:xfrm>
          <a:off x="3371850" y="13639800"/>
          <a:ext cx="2095500" cy="381000"/>
        </a:xfrm>
        <a:prstGeom prst="roundRect">
          <a:avLst/>
        </a:prstGeom>
        <a:solidFill>
          <a:srgbClr val="2457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r-Latn-RS" sz="1100">
              <a:solidFill>
                <a:srgbClr val="FFFFFF"/>
              </a:solidFill>
              <a:latin typeface="Arial" panose="020B0604020202020204" pitchFamily="34" charset="0"/>
            </a:rPr>
            <a:t>Osvezi rezultate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1" xr16:uid="{5C9399A8-292A-456E-9730-647EDCB3AC1B}" autoFormatId="16" applyNumberFormats="0" applyBorderFormats="0" applyFontFormats="1" applyPatternFormats="1" applyAlignmentFormats="0" applyWidthHeightFormats="0">
  <queryTableRefresh nextId="27">
    <queryTableFields count="26">
      <queryTableField id="1" name="RunID" tableColumnId="27"/>
      <queryTableField id="2" name="Scenario" tableColumnId="28"/>
      <queryTableField id="3" name="Allocation" tableColumnId="29"/>
      <queryTableField id="4" name="Valid" tableColumnId="30"/>
      <queryTableField id="5" name="Reason" tableColumnId="31"/>
      <queryTableField id="6" name="Frames" tableColumnId="32"/>
      <queryTableField id="7" name="Mean_ms" tableColumnId="33"/>
      <queryTableField id="8" name="Median_ms" tableColumnId="34"/>
      <queryTableField id="9" name="P95_ms" tableColumnId="35"/>
      <queryTableField id="10" name="P99_ms" tableColumnId="36"/>
      <queryTableField id="11" name="Max_ms" tableColumnId="37"/>
      <queryTableField id="12" name="FPS" tableColumnId="38"/>
      <queryTableField id="13" name="FPS2" tableColumnId="39"/>
      <queryTableField id="14" name="ComparisonSettings" tableColumnId="40"/>
      <queryTableField id="15" name="Scene" tableColumnId="41"/>
      <queryTableField id="16" name="Category" tableColumnId="42"/>
      <queryTableField id="17" name="Folder" tableColumnId="43"/>
      <queryTableField id="18" name="Duration_s" tableColumnId="44"/>
      <queryTableField id="19" name="AI_periodic" tableColumnId="45"/>
      <queryTableField id="20" name="AI_interval_s" tableColumnId="46"/>
      <queryTableField id="21" name="Culling" tableColumnId="47"/>
      <queryTableField id="22" name="EnemyCount" tableColumnId="48"/>
      <queryTableField id="23" name="Replay" tableColumnId="49"/>
      <queryTableField id="24" name="Configuration" tableColumnId="50"/>
      <queryTableField id="25" name="MetadataComplete" tableColumnId="51"/>
      <queryTableField id="26" name="GroupKey" tableColumnId="5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" xr16:uid="{60A2ACA1-6F18-4F6E-8BAC-634E267EF5AA}" autoFormatId="16" applyNumberFormats="0" applyBorderFormats="0" applyFontFormats="1" applyPatternFormats="1" applyAlignmentFormats="0" applyWidthHeightFormats="0">
  <queryTableRefresh nextId="5">
    <queryTableFields count="4">
      <queryTableField id="1" name="Frame" tableColumnId="5"/>
      <queryTableField id="2" name="Time_s" tableColumnId="6"/>
      <queryTableField id="3" name="FrameTime_ms" tableColumnId="7"/>
      <queryTableField id="4" name="CPUStartQPC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EA968C3-394B-4A41-9176-2A666B0E781F}" name="tblRuns" displayName="tblRuns" ref="A5:Z6" tableType="queryTable" insertRow="1" totalsRowShown="0" headerRowDxfId="33" dataDxfId="32">
  <autoFilter ref="A5:Z6" xr:uid="{4EA968C3-394B-4A41-9176-2A666B0E781F}"/>
  <tableColumns count="26">
    <tableColumn id="27" xr3:uid="{5952585C-1D39-4B66-A7B6-08DF35721A26}" uniqueName="27" name="RunID" queryTableFieldId="1" dataDxfId="31"/>
    <tableColumn id="28" xr3:uid="{BC0F7305-8592-47E3-B8F1-BF88B57C206E}" uniqueName="28" name="Scenario" queryTableFieldId="2" dataDxfId="30"/>
    <tableColumn id="29" xr3:uid="{7B60AD61-AC11-4750-9F85-0C453136CB8A}" uniqueName="29" name="Allocation" queryTableFieldId="3" dataDxfId="29"/>
    <tableColumn id="30" xr3:uid="{1CFE67FC-3021-4285-A663-E94918EA5AA6}" uniqueName="30" name="Valid" queryTableFieldId="4" dataDxfId="28"/>
    <tableColumn id="31" xr3:uid="{20289460-41B7-47E3-BDF2-92BC3D1BDE45}" uniqueName="31" name="Reason" queryTableFieldId="5" dataDxfId="27"/>
    <tableColumn id="32" xr3:uid="{F8670CA5-9D17-4E35-8217-B3047EA8C4C8}" uniqueName="32" name="Frames" queryTableFieldId="6" dataDxfId="26"/>
    <tableColumn id="33" xr3:uid="{C00D04B3-6271-4CDE-B2D7-9AB2E5048F41}" uniqueName="33" name="Mean_ms" queryTableFieldId="7" dataDxfId="25"/>
    <tableColumn id="34" xr3:uid="{1B4B138B-059D-4505-AAD1-7A65B8FC6823}" uniqueName="34" name="Median_ms" queryTableFieldId="8" dataDxfId="24"/>
    <tableColumn id="35" xr3:uid="{13090850-9D2A-4290-8A5B-76A3F0B97A34}" uniqueName="35" name="P95_ms" queryTableFieldId="9" dataDxfId="23"/>
    <tableColumn id="36" xr3:uid="{056E7919-FCD9-4CD3-9C65-B233F3BB0884}" uniqueName="36" name="P99_ms" queryTableFieldId="10" dataDxfId="22"/>
    <tableColumn id="37" xr3:uid="{FA3D52C1-0F10-4D16-A1AE-EA7D5898B1BE}" uniqueName="37" name="Max_ms" queryTableFieldId="11" dataDxfId="21"/>
    <tableColumn id="38" xr3:uid="{13813A47-0798-43BB-989B-36C6CCE5A2ED}" uniqueName="38" name="FPS" queryTableFieldId="12" dataDxfId="20"/>
    <tableColumn id="39" xr3:uid="{2CC50D0E-B03F-42DD-85EB-9AED5F120A04}" uniqueName="39" name="FPS2" queryTableFieldId="13" dataDxfId="19"/>
    <tableColumn id="40" xr3:uid="{40F0E39E-C91C-4046-94BF-D8F621C51E8A}" uniqueName="40" name="ComparisonSettings" queryTableFieldId="14" dataDxfId="18"/>
    <tableColumn id="41" xr3:uid="{DB171D46-F945-4B58-885D-1F14668E4F6A}" uniqueName="41" name="Scene" queryTableFieldId="15" dataDxfId="17"/>
    <tableColumn id="42" xr3:uid="{5E346E31-6E7D-4AD0-82B2-B55B02E2958C}" uniqueName="42" name="Category" queryTableFieldId="16" dataDxfId="16"/>
    <tableColumn id="43" xr3:uid="{D975167A-2A31-4D5C-B180-AD7B3B9F9576}" uniqueName="43" name="Folder" queryTableFieldId="17" dataDxfId="15"/>
    <tableColumn id="44" xr3:uid="{DC596103-32F4-4648-B567-1E75D05935DE}" uniqueName="44" name="Duration_s" queryTableFieldId="18" dataDxfId="14"/>
    <tableColumn id="45" xr3:uid="{704FB02F-57D5-4DBA-BDA5-0478E0203B09}" uniqueName="45" name="AI_periodic" queryTableFieldId="19" dataDxfId="13"/>
    <tableColumn id="46" xr3:uid="{FE242913-4BB5-4703-BED0-A7898DF26802}" uniqueName="46" name="AI_interval_s" queryTableFieldId="20" dataDxfId="12"/>
    <tableColumn id="47" xr3:uid="{7E2FBC72-AFE8-4A48-9A2E-73B4CC156BE7}" uniqueName="47" name="Culling" queryTableFieldId="21" dataDxfId="11"/>
    <tableColumn id="48" xr3:uid="{605DE9F6-6DB1-400B-83ED-275CE4906849}" uniqueName="48" name="EnemyCount" queryTableFieldId="22" dataDxfId="10"/>
    <tableColumn id="49" xr3:uid="{D78EF99D-0AA7-4F08-8908-0F21542F47BE}" uniqueName="49" name="Replay" queryTableFieldId="23" dataDxfId="9"/>
    <tableColumn id="50" xr3:uid="{12A28B7E-36EF-4B34-BB83-64CC71FCA4DC}" uniqueName="50" name="Configuration" queryTableFieldId="24" dataDxfId="8"/>
    <tableColumn id="51" xr3:uid="{AC7B508C-082D-43F3-9A1E-DCC8E52944F3}" uniqueName="51" name="MetadataComplete" queryTableFieldId="25" dataDxfId="7"/>
    <tableColumn id="52" xr3:uid="{5A2745AD-E9F3-49C0-847E-C18404261F58}" uniqueName="52" name="GroupKey" queryTableFieldId="26" dataDxfId="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0E9A39-3A99-49BB-9BFC-AFA593EA49CB}" name="tblFrames" displayName="tblFrames" ref="A5:D6" tableType="queryTable" insertRow="1" totalsRowShown="0" headerRowDxfId="5" dataDxfId="4">
  <autoFilter ref="A5:D6" xr:uid="{5A0E9A39-3A99-49BB-9BFC-AFA593EA49CB}"/>
  <tableColumns count="4">
    <tableColumn id="5" xr3:uid="{4EEA3A5D-42F9-4128-8A7E-743CB10AEF37}" uniqueName="5" name="Frame" queryTableFieldId="1" dataDxfId="3"/>
    <tableColumn id="6" xr3:uid="{E58DCB22-F62D-4E71-B8F7-3C5A4658C196}" uniqueName="6" name="Time_s" queryTableFieldId="2" dataDxfId="2"/>
    <tableColumn id="7" xr3:uid="{D517B26A-A82A-4D42-945E-3F3C6FBE4B7C}" uniqueName="7" name="FrameTime_ms" queryTableFieldId="3" dataDxfId="1"/>
    <tableColumn id="8" xr3:uid="{25F7687F-A10B-45B1-8FDA-DF705B4A83F3}" uniqueName="8" name="CPUStartQPC" queryTableFieldId="4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24374B"/>
  </sheetPr>
  <dimension ref="A1:P192"/>
  <sheetViews>
    <sheetView showGridLines="0" topLeftCell="A36" zoomScale="85" zoomScaleNormal="85" workbookViewId="0">
      <selection activeCell="K80" sqref="K80"/>
    </sheetView>
  </sheetViews>
  <sheetFormatPr defaultRowHeight="14.25"/>
  <cols>
    <col min="1" max="1" width="11" customWidth="1"/>
    <col min="2" max="2" width="25.625" customWidth="1"/>
    <col min="3" max="9" width="14.625" customWidth="1"/>
    <col min="10" max="16" width="11" customWidth="1"/>
  </cols>
  <sheetData>
    <row r="1" spans="1:16" ht="20.100000000000001" customHeight="1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</row>
    <row r="2" spans="1:16" ht="20.100000000000001" customHeight="1">
      <c r="A2" s="3"/>
      <c r="B2" s="4" t="s">
        <v>0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</row>
    <row r="3" spans="1:16" ht="20.100000000000001" customHeight="1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 ht="20.100000000000001" customHeight="1">
      <c r="A4" s="3"/>
      <c r="B4" s="3" t="s">
        <v>1</v>
      </c>
      <c r="C4" s="3"/>
      <c r="D4" s="5"/>
      <c r="E4" s="5"/>
      <c r="F4" s="5"/>
      <c r="G4" s="5"/>
      <c r="H4" s="5"/>
      <c r="I4" s="5"/>
      <c r="J4" s="5"/>
      <c r="K4" s="5"/>
      <c r="L4" s="5"/>
      <c r="M4" s="3"/>
      <c r="N4" s="3"/>
      <c r="O4" s="3"/>
      <c r="P4" s="3"/>
    </row>
    <row r="5" spans="1:16" ht="20.100000000000001" customHeight="1">
      <c r="A5" s="3"/>
      <c r="B5" s="3" t="s">
        <v>2</v>
      </c>
      <c r="C5" s="3"/>
      <c r="D5" s="3" t="str">
        <f>IF(COUNTIFS(tblRuns[RunID],D4)=1,INDEX(tblRuns[Scenario],MATCH(D4,tblRuns[RunID],0))&amp;" / "&amp;INDEX(tblRuns[Allocation],MATCH(D4,tblRuns[RunID],0)),"Izaberite test")</f>
        <v>Izaberite test</v>
      </c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</row>
    <row r="6" spans="1:16" ht="20.100000000000001" customHeight="1">
      <c r="A6" s="3"/>
      <c r="B6" s="3" t="s">
        <v>3</v>
      </c>
      <c r="C6" s="3"/>
      <c r="D6" s="3" t="str">
        <f>IF(DataReady,TEXT(Podesavanja!D9,"dd.mm.yyyy hh:mm:ss"),"Potrebno osvezavanje / ucitavanje testa")</f>
        <v>Potrebno osvezavanje / ucitavanje testa</v>
      </c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</row>
    <row r="7" spans="1:16" ht="20.100000000000001" customHeight="1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</row>
    <row r="8" spans="1:16" ht="20.100000000000001" customHeight="1">
      <c r="A8" s="3"/>
      <c r="B8" s="3" t="s">
        <v>4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</row>
    <row r="9" spans="1:16" ht="35.1" customHeight="1">
      <c r="A9" s="3"/>
      <c r="B9" s="6" t="s">
        <v>5</v>
      </c>
      <c r="C9" s="6" t="s">
        <v>6</v>
      </c>
      <c r="D9" s="6" t="s">
        <v>7</v>
      </c>
      <c r="E9" s="6" t="s">
        <v>8</v>
      </c>
      <c r="F9" s="6" t="s">
        <v>9</v>
      </c>
      <c r="G9" s="6" t="s">
        <v>10</v>
      </c>
      <c r="H9" s="6" t="s">
        <v>11</v>
      </c>
      <c r="I9" s="6" t="s">
        <v>12</v>
      </c>
      <c r="J9" s="3"/>
      <c r="K9" s="3"/>
      <c r="L9" s="3"/>
      <c r="M9" s="3"/>
      <c r="N9" s="3"/>
      <c r="O9" s="3"/>
      <c r="P9" s="3"/>
    </row>
    <row r="10" spans="1:16" ht="20.100000000000001" customHeight="1">
      <c r="A10" s="3"/>
      <c r="B10" s="3" t="str">
        <f>IF(DataReady,COUNT(tblFrames[FrameTime_ms]),"")</f>
        <v/>
      </c>
      <c r="C10" s="7" t="str">
        <f>IF(DataReady,AVERAGE(tblFrames[FrameTime_ms]),"")</f>
        <v/>
      </c>
      <c r="D10" s="7" t="str">
        <f>IF(DataReady,MEDIAN(tblFrames[FrameTime_ms]),"")</f>
        <v/>
      </c>
      <c r="E10" s="7" t="str">
        <f>IF(DataReady,_xlfn.PERCENTILE.INC(tblFrames[FrameTime_ms],0.95),"")</f>
        <v/>
      </c>
      <c r="F10" s="7" t="str">
        <f>IF(DataReady,_xlfn.PERCENTILE.INC(tblFrames[FrameTime_ms],0.99),"")</f>
        <v/>
      </c>
      <c r="G10" s="7" t="str">
        <f>IF(DataReady,MAX(tblFrames[FrameTime_ms]),"")</f>
        <v/>
      </c>
      <c r="H10" s="7" t="str">
        <f>IF(DataReady,1000/C10,"")</f>
        <v/>
      </c>
      <c r="I10" s="23" t="str">
        <f>IF(DataReady,COUNTIFS(tblFrames[FrameTime_ms],"&gt;16.6666666666667")/B10,"")</f>
        <v/>
      </c>
      <c r="J10" s="3"/>
      <c r="K10" s="3"/>
      <c r="L10" s="3"/>
      <c r="M10" s="3"/>
      <c r="N10" s="3"/>
      <c r="O10" s="3"/>
      <c r="P10" s="3"/>
    </row>
    <row r="11" spans="1:16" ht="20.100000000000001" customHeight="1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</row>
    <row r="12" spans="1:16" ht="20.100000000000001" customHeight="1">
      <c r="A12" s="3"/>
      <c r="B12" s="3" t="s">
        <v>13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</row>
    <row r="13" spans="1:16" ht="35.1" customHeight="1">
      <c r="A13" s="3"/>
      <c r="B13" s="6" t="s">
        <v>14</v>
      </c>
      <c r="C13" s="6" t="s">
        <v>15</v>
      </c>
      <c r="D13" s="6" t="s">
        <v>16</v>
      </c>
      <c r="E13" s="6" t="s">
        <v>17</v>
      </c>
      <c r="F13" s="6" t="s">
        <v>18</v>
      </c>
      <c r="G13" s="6" t="s">
        <v>19</v>
      </c>
      <c r="H13" s="6" t="s">
        <v>6</v>
      </c>
      <c r="I13" s="6" t="s">
        <v>20</v>
      </c>
      <c r="J13" s="3"/>
      <c r="K13" s="3"/>
      <c r="L13" s="3"/>
      <c r="M13" s="3"/>
      <c r="N13" s="3"/>
      <c r="O13" s="3"/>
      <c r="P13" s="3"/>
    </row>
    <row r="14" spans="1:16" ht="20.100000000000001" customHeight="1">
      <c r="A14" s="3"/>
      <c r="B14" s="3" t="s">
        <v>21</v>
      </c>
      <c r="C14" s="3" t="str">
        <f>IF(DataReady,COUNTIFS(tblRuns[GroupKey],$D$68,tblRuns[Allocation],B14,tblRuns[Valid],TRUE),"")</f>
        <v/>
      </c>
      <c r="D14" s="7" t="str">
        <f>IF(AND(DataReady,C14&gt;0),AVERAGEIFS(tblRuns[FPS],tblRuns[GroupKey],$D$68,tblRuns[Allocation],B14,tblRuns[Valid],TRUE),"")</f>
        <v/>
      </c>
      <c r="E14" s="7" t="str">
        <f>IF(AND(DataReady,C14&gt;1),SQRT(MAX(0,(SUMIFS(tblRuns[FPS2],tblRuns[GroupKey],$D$68,tblRuns[Allocation],B14,tblRuns[Valid],TRUE)-C14*D14^2)/(C14-1))),"")</f>
        <v/>
      </c>
      <c r="F14" s="7" t="str">
        <f>IF(AND(DataReady,C14&gt;0),AVERAGEIFS(tblRuns[P95_ms],tblRuns[GroupKey],$D$68,tblRuns[Allocation],B14,tblRuns[Valid],TRUE),"")</f>
        <v/>
      </c>
      <c r="G14" s="7" t="str">
        <f>IF(AND(DataReady,C14&gt;0),AVERAGEIFS(tblRuns[P99_ms],tblRuns[GroupKey],$D$68,tblRuns[Allocation],B14,tblRuns[Valid],TRUE),"")</f>
        <v/>
      </c>
      <c r="H14" s="7" t="str">
        <f>IF(AND(DataReady,C14&gt;0),AVERAGEIFS(tblRuns[Mean_ms],tblRuns[GroupKey],$D$68,tblRuns[Allocation],B14,tblRuns[Valid],TRUE),"")</f>
        <v/>
      </c>
      <c r="I14" s="3"/>
      <c r="J14" s="3"/>
      <c r="K14" s="3"/>
      <c r="L14" s="3"/>
      <c r="M14" s="3"/>
      <c r="N14" s="3"/>
      <c r="O14" s="3"/>
      <c r="P14" s="3"/>
    </row>
    <row r="15" spans="1:16" ht="20.100000000000001" customHeight="1">
      <c r="A15" s="3"/>
      <c r="B15" s="3" t="s">
        <v>22</v>
      </c>
      <c r="C15" s="3" t="str">
        <f>IF(DataReady,COUNTIFS(tblRuns[GroupKey],$D$68,tblRuns[Allocation],B15,tblRuns[Valid],TRUE),"")</f>
        <v/>
      </c>
      <c r="D15" s="7" t="str">
        <f>IF(AND(DataReady,C15&gt;0),AVERAGEIFS(tblRuns[FPS],tblRuns[GroupKey],$D$68,tblRuns[Allocation],B15,tblRuns[Valid],TRUE),"")</f>
        <v/>
      </c>
      <c r="E15" s="7" t="str">
        <f>IF(AND(DataReady,C15&gt;1),SQRT(MAX(0,(SUMIFS(tblRuns[FPS2],tblRuns[GroupKey],$D$68,tblRuns[Allocation],B15,tblRuns[Valid],TRUE)-C15*D15^2)/(C15-1))),"")</f>
        <v/>
      </c>
      <c r="F15" s="7" t="str">
        <f>IF(AND(DataReady,C15&gt;0),AVERAGEIFS(tblRuns[P95_ms],tblRuns[GroupKey],$D$68,tblRuns[Allocation],B15,tblRuns[Valid],TRUE),"")</f>
        <v/>
      </c>
      <c r="G15" s="7" t="str">
        <f>IF(AND(DataReady,C15&gt;0),AVERAGEIFS(tblRuns[P99_ms],tblRuns[GroupKey],$D$68,tblRuns[Allocation],B15,tblRuns[Valid],TRUE),"")</f>
        <v/>
      </c>
      <c r="H15" s="7" t="str">
        <f>IF(AND(DataReady,C15&gt;0),AVERAGEIFS(tblRuns[Mean_ms],tblRuns[GroupKey],$D$68,tblRuns[Allocation],B15,tblRuns[Valid],TRUE),"")</f>
        <v/>
      </c>
      <c r="I15" s="8" t="str">
        <f>IF(AND(DataReady,C14&gt;0,C15&gt;0),D15/D14-1,"")</f>
        <v/>
      </c>
      <c r="J15" s="3"/>
      <c r="K15" s="3"/>
      <c r="L15" s="3"/>
      <c r="M15" s="3"/>
      <c r="N15" s="3"/>
      <c r="O15" s="3"/>
      <c r="P15" s="3"/>
    </row>
    <row r="16" spans="1:16" ht="20.100000000000001" customHeight="1">
      <c r="A16" s="3"/>
      <c r="B16" s="3" t="str">
        <f>IF(NOT(DataReady),"Podaci nisu osvezeni za trenutni izbor.",IF(AND(C14&gt;0,C15&gt;0),"Poredjenje je dostupno.","Za ovu grupu nedostaje jedan rezim alokacije."))</f>
        <v>Podaci nisu osvezeni za trenutni izbor.</v>
      </c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</row>
    <row r="17" spans="1:16" ht="20.100000000000001" customHeight="1">
      <c r="A17" s="3"/>
      <c r="B17" s="3" t="s">
        <v>23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</row>
    <row r="18" spans="1:16" ht="20.100000000000001" customHeight="1">
      <c r="A18" s="3"/>
      <c r="B18" s="3" t="s">
        <v>24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</row>
    <row r="19" spans="1:16" ht="20.100000000000001" customHeight="1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</row>
    <row r="20" spans="1:16" ht="20.100000000000001" customHeight="1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</row>
    <row r="21" spans="1:16" ht="20.100000000000001" customHeight="1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</row>
    <row r="22" spans="1:16" ht="20.100000000000001" customHeight="1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</row>
    <row r="23" spans="1:16" ht="20.100000000000001" customHeight="1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</row>
    <row r="24" spans="1:16" ht="20.100000000000001" customHeight="1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</row>
    <row r="25" spans="1:16" ht="20.100000000000001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</row>
    <row r="26" spans="1:16" ht="20.100000000000001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</row>
    <row r="27" spans="1:16" ht="20.100000000000001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</row>
    <row r="28" spans="1:16" ht="20.100000000000001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</row>
    <row r="29" spans="1:16" ht="20.100000000000001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</row>
    <row r="30" spans="1:16" ht="20.100000000000001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</row>
    <row r="31" spans="1:16" ht="20.100000000000001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</row>
    <row r="32" spans="1:16" ht="20.100000000000001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</row>
    <row r="33" spans="1:16" ht="20.100000000000001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</row>
    <row r="34" spans="1:16" ht="20.100000000000001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</row>
    <row r="35" spans="1:16" ht="20.100000000000001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</row>
    <row r="36" spans="1:16" ht="20.100000000000001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</row>
    <row r="37" spans="1:16" ht="20.100000000000001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</row>
    <row r="38" spans="1:16" ht="20.100000000000001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</row>
    <row r="39" spans="1:16" ht="20.100000000000001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</row>
    <row r="40" spans="1:16" ht="20.100000000000001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</row>
    <row r="41" spans="1:16" ht="20.100000000000001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</row>
    <row r="42" spans="1:16" ht="20.100000000000001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</row>
    <row r="43" spans="1:16" ht="20.100000000000001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</row>
    <row r="44" spans="1:16" ht="20.100000000000001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</row>
    <row r="45" spans="1:16" ht="20.100000000000001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</row>
    <row r="46" spans="1:16" ht="20.100000000000001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</row>
    <row r="47" spans="1:16" ht="20.100000000000001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</row>
    <row r="48" spans="1:16" ht="20.100000000000001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</row>
    <row r="49" spans="1:16" ht="20.100000000000001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</row>
    <row r="50" spans="1:16" ht="20.100000000000001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</row>
    <row r="51" spans="1:16" ht="20.100000000000001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</row>
    <row r="52" spans="1:16" ht="20.100000000000001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</row>
    <row r="53" spans="1:16" ht="20.100000000000001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</row>
    <row r="54" spans="1:16" ht="20.100000000000001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</row>
    <row r="55" spans="1:16" ht="20.100000000000001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</row>
    <row r="56" spans="1:16" ht="20.100000000000001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</row>
    <row r="57" spans="1:16" ht="20.100000000000001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</row>
    <row r="58" spans="1:16" ht="20.100000000000001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</row>
    <row r="59" spans="1:16" ht="20.100000000000001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</row>
    <row r="60" spans="1:16" ht="20.100000000000001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</row>
    <row r="61" spans="1:16" ht="20.100000000000001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</row>
    <row r="62" spans="1:16" ht="20.100000000000001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</row>
    <row r="63" spans="1:16" ht="20.100000000000001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</row>
    <row r="64" spans="1:16" ht="20.100000000000001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</row>
    <row r="65" spans="1:16" ht="20.100000000000001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</row>
    <row r="66" spans="1:16" ht="20.100000000000001" customHeight="1">
      <c r="A66" s="3"/>
      <c r="B66" s="3" t="s">
        <v>25</v>
      </c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</row>
    <row r="67" spans="1:16" ht="20.100000000000001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</row>
    <row r="68" spans="1:16" ht="20.100000000000001" customHeight="1">
      <c r="A68" s="3"/>
      <c r="B68" s="3" t="s">
        <v>81</v>
      </c>
      <c r="C68" s="3"/>
      <c r="D68" s="3" t="str">
        <f>IF(COUNTIFS(tblRuns[RunID],D4)=1,INDEX(tblRuns[GroupKey],MATCH(D4,tblRuns[RunID],0)),"")</f>
        <v/>
      </c>
      <c r="E68" s="3"/>
      <c r="F68" s="3" t="s">
        <v>82</v>
      </c>
      <c r="G68" s="3"/>
      <c r="H68" s="3" t="str">
        <f>IF(COUNTIFS(tblRuns[RunID],D4)=1,INDEX(tblRuns[Duration_s],MATCH(D4,tblRuns[RunID],0)),"")</f>
        <v/>
      </c>
      <c r="I68" s="3"/>
      <c r="J68" s="3"/>
      <c r="K68" s="3"/>
      <c r="L68" s="3"/>
      <c r="M68" s="3"/>
      <c r="N68" s="3"/>
      <c r="O68" s="3"/>
      <c r="P68" s="3"/>
    </row>
    <row r="69" spans="1:16" ht="20.100000000000001" customHeight="1">
      <c r="A69" s="3"/>
      <c r="B69" s="3" t="s">
        <v>83</v>
      </c>
      <c r="C69" s="3"/>
      <c r="D69" s="3" t="str">
        <f>IF(COUNTIFS(tblRuns[RunID],D4)=1,INDEX(tblRuns[Scene],MATCH(D4,tblRuns[RunID],0))&amp;" / "&amp;INDEX(tblRuns[Category],MATCH(D4,tblRuns[RunID],0)),"")</f>
        <v/>
      </c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</row>
    <row r="70" spans="1:16" ht="20.100000000000001" customHeight="1">
      <c r="A70" s="3"/>
      <c r="B70" s="3" t="s">
        <v>84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</row>
    <row r="71" spans="1:16" ht="20.100000000000001" customHeight="1">
      <c r="A71" s="3"/>
      <c r="B71" s="3" t="s">
        <v>93</v>
      </c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</row>
    <row r="72" spans="1:16" ht="20.100000000000001" customHeight="1">
      <c r="A72" s="3"/>
      <c r="B72" s="3" t="s">
        <v>14</v>
      </c>
      <c r="C72" s="3" t="s">
        <v>85</v>
      </c>
      <c r="D72" s="3" t="s">
        <v>19</v>
      </c>
      <c r="E72" s="3"/>
      <c r="F72" s="3" t="s">
        <v>26</v>
      </c>
      <c r="G72" s="3" t="s">
        <v>6</v>
      </c>
      <c r="H72" s="3" t="s">
        <v>27</v>
      </c>
      <c r="I72" s="3" t="s">
        <v>5</v>
      </c>
      <c r="J72" s="3"/>
      <c r="K72" s="3" t="s">
        <v>28</v>
      </c>
      <c r="L72" s="3" t="s">
        <v>29</v>
      </c>
      <c r="M72" s="3" t="s">
        <v>86</v>
      </c>
      <c r="N72" s="3" t="s">
        <v>87</v>
      </c>
      <c r="O72" s="3"/>
      <c r="P72" s="3"/>
    </row>
    <row r="73" spans="1:16" ht="20.100000000000001" customHeight="1">
      <c r="A73" s="3"/>
      <c r="B73" s="3" t="str">
        <f>B14</f>
        <v>InstantiateDestroy</v>
      </c>
      <c r="C73" s="3" t="e">
        <f>IF(AND(DataReady,C14&gt;0),D14,NA())</f>
        <v>#N/A</v>
      </c>
      <c r="D73" s="3" t="e">
        <f>IF(AND(DataReady,C14&gt;0),G14,NA())</f>
        <v>#N/A</v>
      </c>
      <c r="E73" s="3"/>
      <c r="F73" s="7">
        <f>IF(DataReady,0*$H$68/120,0)</f>
        <v>0</v>
      </c>
      <c r="G73" s="7" t="e">
        <f>IF(I73&gt;0,AVERAGEIFS(tblFrames[FrameTime_ms],tblFrames[Time_s],"&gt;="&amp;F73,tblFrames[Time_s],"&lt;"&amp;(F73+$H$68/120)),NA())</f>
        <v>#N/A</v>
      </c>
      <c r="H73" s="7" t="e">
        <f>IF(I73&gt;0,_xlfn.MAXIFS(tblFrames[FrameTime_ms],tblFrames[Time_s],"&gt;="&amp;F73,tblFrames[Time_s],"&lt;"&amp;(F73+$H$68/120)),NA())</f>
        <v>#N/A</v>
      </c>
      <c r="I73" s="3">
        <f>IF(DataReady,COUNTIFS(tblFrames[Time_s],"&gt;="&amp;F73,tblFrames[Time_s],"&lt;"&amp;(F73+$H$68/120)),0)</f>
        <v>0</v>
      </c>
      <c r="J73" s="3"/>
      <c r="K73" s="24" t="s">
        <v>88</v>
      </c>
      <c r="L73" s="8" t="e">
        <f>IF(DataReady,COUNTIFS(tblFrames[FrameTime_ms],"&gt;"&amp;M73,tblFrames[FrameTime_ms],"&lt;="&amp;N73)/$B$10,NA())</f>
        <v>#N/A</v>
      </c>
      <c r="M73" s="3">
        <v>0</v>
      </c>
      <c r="N73" s="3">
        <v>1</v>
      </c>
      <c r="O73" s="3"/>
      <c r="P73" s="3"/>
    </row>
    <row r="74" spans="1:16" ht="20.100000000000001" customHeight="1">
      <c r="A74" s="3"/>
      <c r="B74" s="3" t="str">
        <f>B15</f>
        <v>Pool</v>
      </c>
      <c r="C74" s="3" t="e">
        <f>IF(AND(DataReady,C15&gt;0),D15,NA())</f>
        <v>#N/A</v>
      </c>
      <c r="D74" s="3" t="e">
        <f>IF(AND(DataReady,C15&gt;0),G15,NA())</f>
        <v>#N/A</v>
      </c>
      <c r="E74" s="3"/>
      <c r="F74" s="7">
        <f>IF(DataReady,1*$H$68/120,0)</f>
        <v>0</v>
      </c>
      <c r="G74" s="7" t="e">
        <f>IF(I74&gt;0,AVERAGEIFS(tblFrames[FrameTime_ms],tblFrames[Time_s],"&gt;="&amp;F74,tblFrames[Time_s],"&lt;"&amp;(F74+$H$68/120)),NA())</f>
        <v>#N/A</v>
      </c>
      <c r="H74" s="7" t="e">
        <f>IF(I74&gt;0,_xlfn.MAXIFS(tblFrames[FrameTime_ms],tblFrames[Time_s],"&gt;="&amp;F74,tblFrames[Time_s],"&lt;"&amp;(F74+$H$68/120)),NA())</f>
        <v>#N/A</v>
      </c>
      <c r="I74" s="3">
        <f>IF(DataReady,COUNTIFS(tblFrames[Time_s],"&gt;="&amp;F74,tblFrames[Time_s],"&lt;"&amp;(F74+$H$68/120)),0)</f>
        <v>0</v>
      </c>
      <c r="J74" s="3"/>
      <c r="K74" s="24" t="s">
        <v>94</v>
      </c>
      <c r="L74" s="8" t="e">
        <f>IF(DataReady,COUNTIFS(tblFrames[FrameTime_ms],"&gt;"&amp;M74,tblFrames[FrameTime_ms],"&lt;="&amp;N74)/$B$10,NA())</f>
        <v>#N/A</v>
      </c>
      <c r="M74" s="3">
        <v>1</v>
      </c>
      <c r="N74" s="3">
        <v>2</v>
      </c>
      <c r="O74" s="3"/>
      <c r="P74" s="3"/>
    </row>
    <row r="75" spans="1:16" ht="20.100000000000001" customHeight="1">
      <c r="A75" s="3"/>
      <c r="B75" s="3"/>
      <c r="C75" s="3"/>
      <c r="D75" s="3"/>
      <c r="E75" s="3"/>
      <c r="F75" s="7">
        <f>IF(DataReady,2*$H$68/120,0)</f>
        <v>0</v>
      </c>
      <c r="G75" s="7" t="e">
        <f>IF(I75&gt;0,AVERAGEIFS(tblFrames[FrameTime_ms],tblFrames[Time_s],"&gt;="&amp;F75,tblFrames[Time_s],"&lt;"&amp;(F75+$H$68/120)),NA())</f>
        <v>#N/A</v>
      </c>
      <c r="H75" s="7" t="e">
        <f>IF(I75&gt;0,_xlfn.MAXIFS(tblFrames[FrameTime_ms],tblFrames[Time_s],"&gt;="&amp;F75,tblFrames[Time_s],"&lt;"&amp;(F75+$H$68/120)),NA())</f>
        <v>#N/A</v>
      </c>
      <c r="I75" s="3">
        <f>IF(DataReady,COUNTIFS(tblFrames[Time_s],"&gt;="&amp;F75,tblFrames[Time_s],"&lt;"&amp;(F75+$H$68/120)),0)</f>
        <v>0</v>
      </c>
      <c r="J75" s="3"/>
      <c r="K75" s="24" t="s">
        <v>95</v>
      </c>
      <c r="L75" s="8" t="e">
        <f>IF(DataReady,COUNTIFS(tblFrames[FrameTime_ms],"&gt;"&amp;M75,tblFrames[FrameTime_ms],"&lt;="&amp;N75)/$B$10,NA())</f>
        <v>#N/A</v>
      </c>
      <c r="M75" s="3">
        <v>2</v>
      </c>
      <c r="N75" s="3">
        <v>4</v>
      </c>
      <c r="O75" s="3"/>
      <c r="P75" s="3"/>
    </row>
    <row r="76" spans="1:16">
      <c r="A76" s="9"/>
      <c r="B76" s="9"/>
      <c r="C76" s="9"/>
      <c r="D76" s="9"/>
      <c r="E76" s="9"/>
      <c r="F76" s="10">
        <f>IF(DataReady,3*$H$68/120,0)</f>
        <v>0</v>
      </c>
      <c r="G76" s="10" t="e">
        <f>IF(I76&gt;0,AVERAGEIFS(tblFrames[FrameTime_ms],tblFrames[Time_s],"&gt;="&amp;F76,tblFrames[Time_s],"&lt;"&amp;(F76+$H$68/120)),NA())</f>
        <v>#N/A</v>
      </c>
      <c r="H76" s="10" t="e">
        <f>IF(I76&gt;0,_xlfn.MAXIFS(tblFrames[FrameTime_ms],tblFrames[Time_s],"&gt;="&amp;F76,tblFrames[Time_s],"&lt;"&amp;(F76+$H$68/120)),NA())</f>
        <v>#N/A</v>
      </c>
      <c r="I76" s="9">
        <f>IF(DataReady,COUNTIFS(tblFrames[Time_s],"&gt;="&amp;F76,tblFrames[Time_s],"&lt;"&amp;(F76+$H$68/120)),0)</f>
        <v>0</v>
      </c>
      <c r="J76" s="9"/>
      <c r="K76" s="25" t="s">
        <v>96</v>
      </c>
      <c r="L76" s="11" t="e">
        <f>IF(DataReady,COUNTIFS(tblFrames[FrameTime_ms],"&gt;"&amp;M76,tblFrames[FrameTime_ms],"&lt;="&amp;N76)/$B$10,NA())</f>
        <v>#N/A</v>
      </c>
      <c r="M76" s="9">
        <v>4</v>
      </c>
      <c r="N76" s="9">
        <v>8</v>
      </c>
      <c r="O76" s="9"/>
      <c r="P76" s="9"/>
    </row>
    <row r="77" spans="1:16">
      <c r="A77" s="9"/>
      <c r="B77" s="9"/>
      <c r="C77" s="9"/>
      <c r="D77" s="9"/>
      <c r="E77" s="9"/>
      <c r="F77" s="10">
        <f>IF(DataReady,4*$H$68/120,0)</f>
        <v>0</v>
      </c>
      <c r="G77" s="10" t="e">
        <f>IF(I77&gt;0,AVERAGEIFS(tblFrames[FrameTime_ms],tblFrames[Time_s],"&gt;="&amp;F77,tblFrames[Time_s],"&lt;"&amp;(F77+$H$68/120)),NA())</f>
        <v>#N/A</v>
      </c>
      <c r="H77" s="10" t="e">
        <f>IF(I77&gt;0,_xlfn.MAXIFS(tblFrames[FrameTime_ms],tblFrames[Time_s],"&gt;="&amp;F77,tblFrames[Time_s],"&lt;"&amp;(F77+$H$68/120)),NA())</f>
        <v>#N/A</v>
      </c>
      <c r="I77" s="9">
        <f>IF(DataReady,COUNTIFS(tblFrames[Time_s],"&gt;="&amp;F77,tblFrames[Time_s],"&lt;"&amp;(F77+$H$68/120)),0)</f>
        <v>0</v>
      </c>
      <c r="J77" s="9"/>
      <c r="K77" s="25" t="s">
        <v>89</v>
      </c>
      <c r="L77" s="11" t="e">
        <f>IF(DataReady,COUNTIFS(tblFrames[FrameTime_ms],"&gt;"&amp;M77,tblFrames[FrameTime_ms],"&lt;="&amp;N77)/$B$10,NA())</f>
        <v>#N/A</v>
      </c>
      <c r="M77" s="9">
        <v>8</v>
      </c>
      <c r="N77" s="9">
        <v>16.6666666666667</v>
      </c>
      <c r="O77" s="9"/>
      <c r="P77" s="9"/>
    </row>
    <row r="78" spans="1:16">
      <c r="A78" s="9"/>
      <c r="B78" s="9"/>
      <c r="C78" s="9"/>
      <c r="D78" s="9"/>
      <c r="E78" s="9"/>
      <c r="F78" s="10">
        <f>IF(DataReady,5*$H$68/120,0)</f>
        <v>0</v>
      </c>
      <c r="G78" s="10" t="e">
        <f>IF(I78&gt;0,AVERAGEIFS(tblFrames[FrameTime_ms],tblFrames[Time_s],"&gt;="&amp;F78,tblFrames[Time_s],"&lt;"&amp;(F78+$H$68/120)),NA())</f>
        <v>#N/A</v>
      </c>
      <c r="H78" s="10" t="e">
        <f>IF(I78&gt;0,_xlfn.MAXIFS(tblFrames[FrameTime_ms],tblFrames[Time_s],"&gt;="&amp;F78,tblFrames[Time_s],"&lt;"&amp;(F78+$H$68/120)),NA())</f>
        <v>#N/A</v>
      </c>
      <c r="I78" s="9">
        <f>IF(DataReady,COUNTIFS(tblFrames[Time_s],"&gt;="&amp;F78,tblFrames[Time_s],"&lt;"&amp;(F78+$H$68/120)),0)</f>
        <v>0</v>
      </c>
      <c r="J78" s="9"/>
      <c r="K78" s="25" t="s">
        <v>90</v>
      </c>
      <c r="L78" s="11" t="e">
        <f>IF(DataReady,COUNTIFS(tblFrames[FrameTime_ms],"&gt;"&amp;M78,tblFrames[FrameTime_ms],"&lt;="&amp;N78)/$B$10,NA())</f>
        <v>#N/A</v>
      </c>
      <c r="M78" s="9">
        <v>16.6666666666667</v>
      </c>
      <c r="N78" s="9">
        <v>33.3333333333333</v>
      </c>
      <c r="O78" s="9"/>
      <c r="P78" s="9"/>
    </row>
    <row r="79" spans="1:16">
      <c r="A79" s="9"/>
      <c r="B79" s="9"/>
      <c r="C79" s="9"/>
      <c r="D79" s="9"/>
      <c r="E79" s="9"/>
      <c r="F79" s="10">
        <f>IF(DataReady,6*$H$68/120,0)</f>
        <v>0</v>
      </c>
      <c r="G79" s="10" t="e">
        <f>IF(I79&gt;0,AVERAGEIFS(tblFrames[FrameTime_ms],tblFrames[Time_s],"&gt;="&amp;F79,tblFrames[Time_s],"&lt;"&amp;(F79+$H$68/120)),NA())</f>
        <v>#N/A</v>
      </c>
      <c r="H79" s="10" t="e">
        <f>IF(I79&gt;0,_xlfn.MAXIFS(tblFrames[FrameTime_ms],tblFrames[Time_s],"&gt;="&amp;F79,tblFrames[Time_s],"&lt;"&amp;(F79+$H$68/120)),NA())</f>
        <v>#N/A</v>
      </c>
      <c r="I79" s="9">
        <f>IF(DataReady,COUNTIFS(tblFrames[Time_s],"&gt;="&amp;F79,tblFrames[Time_s],"&lt;"&amp;(F79+$H$68/120)),0)</f>
        <v>0</v>
      </c>
      <c r="J79" s="9"/>
      <c r="K79" s="25" t="s">
        <v>91</v>
      </c>
      <c r="L79" s="11" t="e">
        <f>IF(DataReady,COUNTIFS(tblFrames[FrameTime_ms],"&gt;"&amp;M79,tblFrames[FrameTime_ms],"&lt;="&amp;N79)/$B$10,NA())</f>
        <v>#N/A</v>
      </c>
      <c r="M79" s="9">
        <v>33.3333333333333</v>
      </c>
      <c r="N79" s="9">
        <v>50</v>
      </c>
      <c r="O79" s="9"/>
      <c r="P79" s="9"/>
    </row>
    <row r="80" spans="1:16">
      <c r="A80" s="9"/>
      <c r="B80" s="9"/>
      <c r="C80" s="9"/>
      <c r="D80" s="9"/>
      <c r="E80" s="9"/>
      <c r="F80" s="10">
        <f>IF(DataReady,7*$H$68/120,0)</f>
        <v>0</v>
      </c>
      <c r="G80" s="10" t="e">
        <f>IF(I80&gt;0,AVERAGEIFS(tblFrames[FrameTime_ms],tblFrames[Time_s],"&gt;="&amp;F80,tblFrames[Time_s],"&lt;"&amp;(F80+$H$68/120)),NA())</f>
        <v>#N/A</v>
      </c>
      <c r="H80" s="10" t="e">
        <f>IF(I80&gt;0,_xlfn.MAXIFS(tblFrames[FrameTime_ms],tblFrames[Time_s],"&gt;="&amp;F80,tblFrames[Time_s],"&lt;"&amp;(F80+$H$68/120)),NA())</f>
        <v>#N/A</v>
      </c>
      <c r="I80" s="9">
        <f>IF(DataReady,COUNTIFS(tblFrames[Time_s],"&gt;="&amp;F80,tblFrames[Time_s],"&lt;"&amp;(F80+$H$68/120)),0)</f>
        <v>0</v>
      </c>
      <c r="J80" s="9"/>
      <c r="K80" s="25" t="s">
        <v>92</v>
      </c>
      <c r="L80" s="11" t="e">
        <f>IF(DataReady,COUNTIFS(tblFrames[FrameTime_ms],"&gt;"&amp;M80)/$B$10,NA())</f>
        <v>#N/A</v>
      </c>
      <c r="M80" s="9">
        <v>50</v>
      </c>
      <c r="N80" s="9">
        <v>0</v>
      </c>
      <c r="O80" s="9"/>
      <c r="P80" s="9"/>
    </row>
    <row r="81" spans="1:16">
      <c r="A81" s="9"/>
      <c r="B81" s="9"/>
      <c r="C81" s="9"/>
      <c r="D81" s="9"/>
      <c r="E81" s="9"/>
      <c r="F81" s="10">
        <f>IF(DataReady,8*$H$68/120,0)</f>
        <v>0</v>
      </c>
      <c r="G81" s="10" t="e">
        <f>IF(I81&gt;0,AVERAGEIFS(tblFrames[FrameTime_ms],tblFrames[Time_s],"&gt;="&amp;F81,tblFrames[Time_s],"&lt;"&amp;(F81+$H$68/120)),NA())</f>
        <v>#N/A</v>
      </c>
      <c r="H81" s="10" t="e">
        <f>IF(I81&gt;0,_xlfn.MAXIFS(tblFrames[FrameTime_ms],tblFrames[Time_s],"&gt;="&amp;F81,tblFrames[Time_s],"&lt;"&amp;(F81+$H$68/120)),NA())</f>
        <v>#N/A</v>
      </c>
      <c r="I81" s="9">
        <f>IF(DataReady,COUNTIFS(tblFrames[Time_s],"&gt;="&amp;F81,tblFrames[Time_s],"&lt;"&amp;(F81+$H$68/120)),0)</f>
        <v>0</v>
      </c>
      <c r="J81" s="9"/>
      <c r="K81" s="9"/>
      <c r="L81" s="9"/>
      <c r="M81" s="9"/>
      <c r="N81" s="9"/>
      <c r="O81" s="9"/>
      <c r="P81" s="9"/>
    </row>
    <row r="82" spans="1:16">
      <c r="A82" s="9"/>
      <c r="B82" s="9"/>
      <c r="C82" s="9"/>
      <c r="D82" s="9"/>
      <c r="E82" s="9"/>
      <c r="F82" s="10">
        <f>IF(DataReady,9*$H$68/120,0)</f>
        <v>0</v>
      </c>
      <c r="G82" s="10" t="e">
        <f>IF(I82&gt;0,AVERAGEIFS(tblFrames[FrameTime_ms],tblFrames[Time_s],"&gt;="&amp;F82,tblFrames[Time_s],"&lt;"&amp;(F82+$H$68/120)),NA())</f>
        <v>#N/A</v>
      </c>
      <c r="H82" s="10" t="e">
        <f>IF(I82&gt;0,_xlfn.MAXIFS(tblFrames[FrameTime_ms],tblFrames[Time_s],"&gt;="&amp;F82,tblFrames[Time_s],"&lt;"&amp;(F82+$H$68/120)),NA())</f>
        <v>#N/A</v>
      </c>
      <c r="I82" s="9">
        <f>IF(DataReady,COUNTIFS(tblFrames[Time_s],"&gt;="&amp;F82,tblFrames[Time_s],"&lt;"&amp;(F82+$H$68/120)),0)</f>
        <v>0</v>
      </c>
      <c r="J82" s="9"/>
      <c r="K82" s="9"/>
      <c r="L82" s="9"/>
      <c r="M82" s="9"/>
      <c r="N82" s="9"/>
      <c r="O82" s="9"/>
      <c r="P82" s="9"/>
    </row>
    <row r="83" spans="1:16">
      <c r="A83" s="9"/>
      <c r="B83" s="9"/>
      <c r="C83" s="9"/>
      <c r="D83" s="9"/>
      <c r="E83" s="9"/>
      <c r="F83" s="10">
        <f>IF(DataReady,10*$H$68/120,0)</f>
        <v>0</v>
      </c>
      <c r="G83" s="10" t="e">
        <f>IF(I83&gt;0,AVERAGEIFS(tblFrames[FrameTime_ms],tblFrames[Time_s],"&gt;="&amp;F83,tblFrames[Time_s],"&lt;"&amp;(F83+$H$68/120)),NA())</f>
        <v>#N/A</v>
      </c>
      <c r="H83" s="10" t="e">
        <f>IF(I83&gt;0,_xlfn.MAXIFS(tblFrames[FrameTime_ms],tblFrames[Time_s],"&gt;="&amp;F83,tblFrames[Time_s],"&lt;"&amp;(F83+$H$68/120)),NA())</f>
        <v>#N/A</v>
      </c>
      <c r="I83" s="9">
        <f>IF(DataReady,COUNTIFS(tblFrames[Time_s],"&gt;="&amp;F83,tblFrames[Time_s],"&lt;"&amp;(F83+$H$68/120)),0)</f>
        <v>0</v>
      </c>
      <c r="J83" s="9"/>
      <c r="K83" s="9"/>
      <c r="L83" s="9"/>
      <c r="M83" s="9"/>
      <c r="N83" s="9"/>
      <c r="O83" s="9"/>
      <c r="P83" s="9"/>
    </row>
    <row r="84" spans="1:16">
      <c r="A84" s="9"/>
      <c r="B84" s="9"/>
      <c r="C84" s="9"/>
      <c r="D84" s="9"/>
      <c r="E84" s="9"/>
      <c r="F84" s="10">
        <f>IF(DataReady,11*$H$68/120,0)</f>
        <v>0</v>
      </c>
      <c r="G84" s="10" t="e">
        <f>IF(I84&gt;0,AVERAGEIFS(tblFrames[FrameTime_ms],tblFrames[Time_s],"&gt;="&amp;F84,tblFrames[Time_s],"&lt;"&amp;(F84+$H$68/120)),NA())</f>
        <v>#N/A</v>
      </c>
      <c r="H84" s="10" t="e">
        <f>IF(I84&gt;0,_xlfn.MAXIFS(tblFrames[FrameTime_ms],tblFrames[Time_s],"&gt;="&amp;F84,tblFrames[Time_s],"&lt;"&amp;(F84+$H$68/120)),NA())</f>
        <v>#N/A</v>
      </c>
      <c r="I84" s="9">
        <f>IF(DataReady,COUNTIFS(tblFrames[Time_s],"&gt;="&amp;F84,tblFrames[Time_s],"&lt;"&amp;(F84+$H$68/120)),0)</f>
        <v>0</v>
      </c>
      <c r="J84" s="9"/>
      <c r="K84" s="9"/>
      <c r="L84" s="9"/>
      <c r="M84" s="9"/>
      <c r="N84" s="9"/>
      <c r="O84" s="9"/>
      <c r="P84" s="9"/>
    </row>
    <row r="85" spans="1:16">
      <c r="A85" s="9"/>
      <c r="B85" s="9"/>
      <c r="C85" s="9"/>
      <c r="D85" s="9"/>
      <c r="E85" s="9"/>
      <c r="F85" s="10">
        <f>IF(DataReady,12*$H$68/120,0)</f>
        <v>0</v>
      </c>
      <c r="G85" s="10" t="e">
        <f>IF(I85&gt;0,AVERAGEIFS(tblFrames[FrameTime_ms],tblFrames[Time_s],"&gt;="&amp;F85,tblFrames[Time_s],"&lt;"&amp;(F85+$H$68/120)),NA())</f>
        <v>#N/A</v>
      </c>
      <c r="H85" s="10" t="e">
        <f>IF(I85&gt;0,_xlfn.MAXIFS(tblFrames[FrameTime_ms],tblFrames[Time_s],"&gt;="&amp;F85,tblFrames[Time_s],"&lt;"&amp;(F85+$H$68/120)),NA())</f>
        <v>#N/A</v>
      </c>
      <c r="I85" s="9">
        <f>IF(DataReady,COUNTIFS(tblFrames[Time_s],"&gt;="&amp;F85,tblFrames[Time_s],"&lt;"&amp;(F85+$H$68/120)),0)</f>
        <v>0</v>
      </c>
      <c r="J85" s="9"/>
      <c r="K85" s="9"/>
      <c r="L85" s="9"/>
      <c r="M85" s="9"/>
      <c r="N85" s="9"/>
      <c r="O85" s="9"/>
      <c r="P85" s="9"/>
    </row>
    <row r="86" spans="1:16">
      <c r="A86" s="9"/>
      <c r="B86" s="9"/>
      <c r="C86" s="9"/>
      <c r="D86" s="9"/>
      <c r="E86" s="9"/>
      <c r="F86" s="10">
        <f>IF(DataReady,13*$H$68/120,0)</f>
        <v>0</v>
      </c>
      <c r="G86" s="10" t="e">
        <f>IF(I86&gt;0,AVERAGEIFS(tblFrames[FrameTime_ms],tblFrames[Time_s],"&gt;="&amp;F86,tblFrames[Time_s],"&lt;"&amp;(F86+$H$68/120)),NA())</f>
        <v>#N/A</v>
      </c>
      <c r="H86" s="10" t="e">
        <f>IF(I86&gt;0,_xlfn.MAXIFS(tblFrames[FrameTime_ms],tblFrames[Time_s],"&gt;="&amp;F86,tblFrames[Time_s],"&lt;"&amp;(F86+$H$68/120)),NA())</f>
        <v>#N/A</v>
      </c>
      <c r="I86" s="9">
        <f>IF(DataReady,COUNTIFS(tblFrames[Time_s],"&gt;="&amp;F86,tblFrames[Time_s],"&lt;"&amp;(F86+$H$68/120)),0)</f>
        <v>0</v>
      </c>
      <c r="J86" s="9"/>
      <c r="K86" s="9"/>
      <c r="L86" s="9"/>
      <c r="M86" s="9"/>
      <c r="N86" s="9"/>
      <c r="O86" s="9"/>
      <c r="P86" s="9"/>
    </row>
    <row r="87" spans="1:16">
      <c r="A87" s="9"/>
      <c r="B87" s="9"/>
      <c r="C87" s="9"/>
      <c r="D87" s="9"/>
      <c r="E87" s="9"/>
      <c r="F87" s="10">
        <f>IF(DataReady,14*$H$68/120,0)</f>
        <v>0</v>
      </c>
      <c r="G87" s="10" t="e">
        <f>IF(I87&gt;0,AVERAGEIFS(tblFrames[FrameTime_ms],tblFrames[Time_s],"&gt;="&amp;F87,tblFrames[Time_s],"&lt;"&amp;(F87+$H$68/120)),NA())</f>
        <v>#N/A</v>
      </c>
      <c r="H87" s="10" t="e">
        <f>IF(I87&gt;0,_xlfn.MAXIFS(tblFrames[FrameTime_ms],tblFrames[Time_s],"&gt;="&amp;F87,tblFrames[Time_s],"&lt;"&amp;(F87+$H$68/120)),NA())</f>
        <v>#N/A</v>
      </c>
      <c r="I87" s="9">
        <f>IF(DataReady,COUNTIFS(tblFrames[Time_s],"&gt;="&amp;F87,tblFrames[Time_s],"&lt;"&amp;(F87+$H$68/120)),0)</f>
        <v>0</v>
      </c>
      <c r="J87" s="9"/>
      <c r="K87" s="9"/>
      <c r="L87" s="9"/>
      <c r="M87" s="9"/>
      <c r="N87" s="9"/>
      <c r="O87" s="9"/>
      <c r="P87" s="9"/>
    </row>
    <row r="88" spans="1:16">
      <c r="A88" s="9"/>
      <c r="B88" s="9"/>
      <c r="C88" s="9"/>
      <c r="D88" s="9"/>
      <c r="E88" s="9"/>
      <c r="F88" s="10">
        <f>IF(DataReady,15*$H$68/120,0)</f>
        <v>0</v>
      </c>
      <c r="G88" s="10" t="e">
        <f>IF(I88&gt;0,AVERAGEIFS(tblFrames[FrameTime_ms],tblFrames[Time_s],"&gt;="&amp;F88,tblFrames[Time_s],"&lt;"&amp;(F88+$H$68/120)),NA())</f>
        <v>#N/A</v>
      </c>
      <c r="H88" s="10" t="e">
        <f>IF(I88&gt;0,_xlfn.MAXIFS(tblFrames[FrameTime_ms],tblFrames[Time_s],"&gt;="&amp;F88,tblFrames[Time_s],"&lt;"&amp;(F88+$H$68/120)),NA())</f>
        <v>#N/A</v>
      </c>
      <c r="I88" s="9">
        <f>IF(DataReady,COUNTIFS(tblFrames[Time_s],"&gt;="&amp;F88,tblFrames[Time_s],"&lt;"&amp;(F88+$H$68/120)),0)</f>
        <v>0</v>
      </c>
      <c r="J88" s="9"/>
      <c r="K88" s="9"/>
      <c r="L88" s="9"/>
      <c r="M88" s="9"/>
      <c r="N88" s="9"/>
      <c r="O88" s="9"/>
      <c r="P88" s="9"/>
    </row>
    <row r="89" spans="1:16">
      <c r="A89" s="9"/>
      <c r="B89" s="9"/>
      <c r="C89" s="9"/>
      <c r="D89" s="9"/>
      <c r="E89" s="9"/>
      <c r="F89" s="10">
        <f>IF(DataReady,16*$H$68/120,0)</f>
        <v>0</v>
      </c>
      <c r="G89" s="10" t="e">
        <f>IF(I89&gt;0,AVERAGEIFS(tblFrames[FrameTime_ms],tblFrames[Time_s],"&gt;="&amp;F89,tblFrames[Time_s],"&lt;"&amp;(F89+$H$68/120)),NA())</f>
        <v>#N/A</v>
      </c>
      <c r="H89" s="10" t="e">
        <f>IF(I89&gt;0,_xlfn.MAXIFS(tblFrames[FrameTime_ms],tblFrames[Time_s],"&gt;="&amp;F89,tblFrames[Time_s],"&lt;"&amp;(F89+$H$68/120)),NA())</f>
        <v>#N/A</v>
      </c>
      <c r="I89" s="9">
        <f>IF(DataReady,COUNTIFS(tblFrames[Time_s],"&gt;="&amp;F89,tblFrames[Time_s],"&lt;"&amp;(F89+$H$68/120)),0)</f>
        <v>0</v>
      </c>
      <c r="J89" s="9"/>
      <c r="K89" s="9"/>
      <c r="L89" s="9"/>
      <c r="M89" s="9"/>
      <c r="N89" s="9"/>
      <c r="O89" s="9"/>
      <c r="P89" s="9"/>
    </row>
    <row r="90" spans="1:16">
      <c r="A90" s="9"/>
      <c r="B90" s="9"/>
      <c r="C90" s="9"/>
      <c r="D90" s="9"/>
      <c r="E90" s="9"/>
      <c r="F90" s="10">
        <f>IF(DataReady,17*$H$68/120,0)</f>
        <v>0</v>
      </c>
      <c r="G90" s="10" t="e">
        <f>IF(I90&gt;0,AVERAGEIFS(tblFrames[FrameTime_ms],tblFrames[Time_s],"&gt;="&amp;F90,tblFrames[Time_s],"&lt;"&amp;(F90+$H$68/120)),NA())</f>
        <v>#N/A</v>
      </c>
      <c r="H90" s="10" t="e">
        <f>IF(I90&gt;0,_xlfn.MAXIFS(tblFrames[FrameTime_ms],tblFrames[Time_s],"&gt;="&amp;F90,tblFrames[Time_s],"&lt;"&amp;(F90+$H$68/120)),NA())</f>
        <v>#N/A</v>
      </c>
      <c r="I90" s="9">
        <f>IF(DataReady,COUNTIFS(tblFrames[Time_s],"&gt;="&amp;F90,tblFrames[Time_s],"&lt;"&amp;(F90+$H$68/120)),0)</f>
        <v>0</v>
      </c>
      <c r="J90" s="9"/>
      <c r="K90" s="9"/>
      <c r="L90" s="9"/>
      <c r="M90" s="9"/>
      <c r="N90" s="9"/>
      <c r="O90" s="9"/>
      <c r="P90" s="9"/>
    </row>
    <row r="91" spans="1:16">
      <c r="A91" s="9"/>
      <c r="B91" s="9"/>
      <c r="C91" s="9"/>
      <c r="D91" s="9"/>
      <c r="E91" s="9"/>
      <c r="F91" s="10">
        <f>IF(DataReady,18*$H$68/120,0)</f>
        <v>0</v>
      </c>
      <c r="G91" s="10" t="e">
        <f>IF(I91&gt;0,AVERAGEIFS(tblFrames[FrameTime_ms],tblFrames[Time_s],"&gt;="&amp;F91,tblFrames[Time_s],"&lt;"&amp;(F91+$H$68/120)),NA())</f>
        <v>#N/A</v>
      </c>
      <c r="H91" s="10" t="e">
        <f>IF(I91&gt;0,_xlfn.MAXIFS(tblFrames[FrameTime_ms],tblFrames[Time_s],"&gt;="&amp;F91,tblFrames[Time_s],"&lt;"&amp;(F91+$H$68/120)),NA())</f>
        <v>#N/A</v>
      </c>
      <c r="I91" s="9">
        <f>IF(DataReady,COUNTIFS(tblFrames[Time_s],"&gt;="&amp;F91,tblFrames[Time_s],"&lt;"&amp;(F91+$H$68/120)),0)</f>
        <v>0</v>
      </c>
      <c r="J91" s="9"/>
      <c r="K91" s="9"/>
      <c r="L91" s="9"/>
      <c r="M91" s="9"/>
      <c r="N91" s="9"/>
      <c r="O91" s="9"/>
      <c r="P91" s="9"/>
    </row>
    <row r="92" spans="1:16">
      <c r="A92" s="9"/>
      <c r="B92" s="9"/>
      <c r="C92" s="9"/>
      <c r="D92" s="9"/>
      <c r="E92" s="9"/>
      <c r="F92" s="10">
        <f>IF(DataReady,19*$H$68/120,0)</f>
        <v>0</v>
      </c>
      <c r="G92" s="10" t="e">
        <f>IF(I92&gt;0,AVERAGEIFS(tblFrames[FrameTime_ms],tblFrames[Time_s],"&gt;="&amp;F92,tblFrames[Time_s],"&lt;"&amp;(F92+$H$68/120)),NA())</f>
        <v>#N/A</v>
      </c>
      <c r="H92" s="10" t="e">
        <f>IF(I92&gt;0,_xlfn.MAXIFS(tblFrames[FrameTime_ms],tblFrames[Time_s],"&gt;="&amp;F92,tblFrames[Time_s],"&lt;"&amp;(F92+$H$68/120)),NA())</f>
        <v>#N/A</v>
      </c>
      <c r="I92" s="9">
        <f>IF(DataReady,COUNTIFS(tblFrames[Time_s],"&gt;="&amp;F92,tblFrames[Time_s],"&lt;"&amp;(F92+$H$68/120)),0)</f>
        <v>0</v>
      </c>
      <c r="J92" s="9"/>
      <c r="K92" s="9"/>
      <c r="L92" s="9"/>
      <c r="M92" s="9"/>
      <c r="N92" s="9"/>
      <c r="O92" s="9"/>
      <c r="P92" s="9"/>
    </row>
    <row r="93" spans="1:16">
      <c r="A93" s="9"/>
      <c r="B93" s="9"/>
      <c r="C93" s="9"/>
      <c r="D93" s="9"/>
      <c r="E93" s="9"/>
      <c r="F93" s="10">
        <f>IF(DataReady,20*$H$68/120,0)</f>
        <v>0</v>
      </c>
      <c r="G93" s="10" t="e">
        <f>IF(I93&gt;0,AVERAGEIFS(tblFrames[FrameTime_ms],tblFrames[Time_s],"&gt;="&amp;F93,tblFrames[Time_s],"&lt;"&amp;(F93+$H$68/120)),NA())</f>
        <v>#N/A</v>
      </c>
      <c r="H93" s="10" t="e">
        <f>IF(I93&gt;0,_xlfn.MAXIFS(tblFrames[FrameTime_ms],tblFrames[Time_s],"&gt;="&amp;F93,tblFrames[Time_s],"&lt;"&amp;(F93+$H$68/120)),NA())</f>
        <v>#N/A</v>
      </c>
      <c r="I93" s="9">
        <f>IF(DataReady,COUNTIFS(tblFrames[Time_s],"&gt;="&amp;F93,tblFrames[Time_s],"&lt;"&amp;(F93+$H$68/120)),0)</f>
        <v>0</v>
      </c>
      <c r="J93" s="9"/>
      <c r="K93" s="9"/>
      <c r="L93" s="9"/>
      <c r="M93" s="9"/>
      <c r="N93" s="9"/>
      <c r="O93" s="9"/>
      <c r="P93" s="9"/>
    </row>
    <row r="94" spans="1:16">
      <c r="A94" s="9"/>
      <c r="B94" s="9"/>
      <c r="C94" s="9"/>
      <c r="D94" s="9"/>
      <c r="E94" s="9"/>
      <c r="F94" s="10">
        <f>IF(DataReady,21*$H$68/120,0)</f>
        <v>0</v>
      </c>
      <c r="G94" s="10" t="e">
        <f>IF(I94&gt;0,AVERAGEIFS(tblFrames[FrameTime_ms],tblFrames[Time_s],"&gt;="&amp;F94,tblFrames[Time_s],"&lt;"&amp;(F94+$H$68/120)),NA())</f>
        <v>#N/A</v>
      </c>
      <c r="H94" s="10" t="e">
        <f>IF(I94&gt;0,_xlfn.MAXIFS(tblFrames[FrameTime_ms],tblFrames[Time_s],"&gt;="&amp;F94,tblFrames[Time_s],"&lt;"&amp;(F94+$H$68/120)),NA())</f>
        <v>#N/A</v>
      </c>
      <c r="I94" s="9">
        <f>IF(DataReady,COUNTIFS(tblFrames[Time_s],"&gt;="&amp;F94,tblFrames[Time_s],"&lt;"&amp;(F94+$H$68/120)),0)</f>
        <v>0</v>
      </c>
      <c r="J94" s="9"/>
      <c r="K94" s="9"/>
      <c r="L94" s="9"/>
      <c r="M94" s="9"/>
      <c r="N94" s="9"/>
      <c r="O94" s="9"/>
      <c r="P94" s="9"/>
    </row>
    <row r="95" spans="1:16">
      <c r="A95" s="9"/>
      <c r="B95" s="9"/>
      <c r="C95" s="9"/>
      <c r="D95" s="9"/>
      <c r="E95" s="9"/>
      <c r="F95" s="10">
        <f>IF(DataReady,22*$H$68/120,0)</f>
        <v>0</v>
      </c>
      <c r="G95" s="10" t="e">
        <f>IF(I95&gt;0,AVERAGEIFS(tblFrames[FrameTime_ms],tblFrames[Time_s],"&gt;="&amp;F95,tblFrames[Time_s],"&lt;"&amp;(F95+$H$68/120)),NA())</f>
        <v>#N/A</v>
      </c>
      <c r="H95" s="10" t="e">
        <f>IF(I95&gt;0,_xlfn.MAXIFS(tblFrames[FrameTime_ms],tblFrames[Time_s],"&gt;="&amp;F95,tblFrames[Time_s],"&lt;"&amp;(F95+$H$68/120)),NA())</f>
        <v>#N/A</v>
      </c>
      <c r="I95" s="9">
        <f>IF(DataReady,COUNTIFS(tblFrames[Time_s],"&gt;="&amp;F95,tblFrames[Time_s],"&lt;"&amp;(F95+$H$68/120)),0)</f>
        <v>0</v>
      </c>
      <c r="J95" s="9"/>
      <c r="K95" s="9"/>
      <c r="L95" s="9"/>
      <c r="M95" s="9"/>
      <c r="N95" s="9"/>
      <c r="O95" s="9"/>
      <c r="P95" s="9"/>
    </row>
    <row r="96" spans="1:16">
      <c r="A96" s="9"/>
      <c r="B96" s="9"/>
      <c r="C96" s="9"/>
      <c r="D96" s="9"/>
      <c r="E96" s="9"/>
      <c r="F96" s="10">
        <f>IF(DataReady,23*$H$68/120,0)</f>
        <v>0</v>
      </c>
      <c r="G96" s="10" t="e">
        <f>IF(I96&gt;0,AVERAGEIFS(tblFrames[FrameTime_ms],tblFrames[Time_s],"&gt;="&amp;F96,tblFrames[Time_s],"&lt;"&amp;(F96+$H$68/120)),NA())</f>
        <v>#N/A</v>
      </c>
      <c r="H96" s="10" t="e">
        <f>IF(I96&gt;0,_xlfn.MAXIFS(tblFrames[FrameTime_ms],tblFrames[Time_s],"&gt;="&amp;F96,tblFrames[Time_s],"&lt;"&amp;(F96+$H$68/120)),NA())</f>
        <v>#N/A</v>
      </c>
      <c r="I96" s="9">
        <f>IF(DataReady,COUNTIFS(tblFrames[Time_s],"&gt;="&amp;F96,tblFrames[Time_s],"&lt;"&amp;(F96+$H$68/120)),0)</f>
        <v>0</v>
      </c>
      <c r="J96" s="9"/>
      <c r="K96" s="9"/>
      <c r="L96" s="9"/>
      <c r="M96" s="9"/>
      <c r="N96" s="9"/>
      <c r="O96" s="9"/>
      <c r="P96" s="9"/>
    </row>
    <row r="97" spans="1:16">
      <c r="A97" s="9"/>
      <c r="B97" s="9"/>
      <c r="C97" s="9"/>
      <c r="D97" s="9"/>
      <c r="E97" s="9"/>
      <c r="F97" s="10">
        <f>IF(DataReady,24*$H$68/120,0)</f>
        <v>0</v>
      </c>
      <c r="G97" s="10" t="e">
        <f>IF(I97&gt;0,AVERAGEIFS(tblFrames[FrameTime_ms],tblFrames[Time_s],"&gt;="&amp;F97,tblFrames[Time_s],"&lt;"&amp;(F97+$H$68/120)),NA())</f>
        <v>#N/A</v>
      </c>
      <c r="H97" s="10" t="e">
        <f>IF(I97&gt;0,_xlfn.MAXIFS(tblFrames[FrameTime_ms],tblFrames[Time_s],"&gt;="&amp;F97,tblFrames[Time_s],"&lt;"&amp;(F97+$H$68/120)),NA())</f>
        <v>#N/A</v>
      </c>
      <c r="I97" s="9">
        <f>IF(DataReady,COUNTIFS(tblFrames[Time_s],"&gt;="&amp;F97,tblFrames[Time_s],"&lt;"&amp;(F97+$H$68/120)),0)</f>
        <v>0</v>
      </c>
      <c r="J97" s="9"/>
      <c r="K97" s="9"/>
      <c r="L97" s="9"/>
      <c r="M97" s="9"/>
      <c r="N97" s="9"/>
      <c r="O97" s="9"/>
      <c r="P97" s="9"/>
    </row>
    <row r="98" spans="1:16">
      <c r="A98" s="9"/>
      <c r="B98" s="9"/>
      <c r="C98" s="9"/>
      <c r="D98" s="9"/>
      <c r="E98" s="9"/>
      <c r="F98" s="10">
        <f>IF(DataReady,25*$H$68/120,0)</f>
        <v>0</v>
      </c>
      <c r="G98" s="10" t="e">
        <f>IF(I98&gt;0,AVERAGEIFS(tblFrames[FrameTime_ms],tblFrames[Time_s],"&gt;="&amp;F98,tblFrames[Time_s],"&lt;"&amp;(F98+$H$68/120)),NA())</f>
        <v>#N/A</v>
      </c>
      <c r="H98" s="10" t="e">
        <f>IF(I98&gt;0,_xlfn.MAXIFS(tblFrames[FrameTime_ms],tblFrames[Time_s],"&gt;="&amp;F98,tblFrames[Time_s],"&lt;"&amp;(F98+$H$68/120)),NA())</f>
        <v>#N/A</v>
      </c>
      <c r="I98" s="9">
        <f>IF(DataReady,COUNTIFS(tblFrames[Time_s],"&gt;="&amp;F98,tblFrames[Time_s],"&lt;"&amp;(F98+$H$68/120)),0)</f>
        <v>0</v>
      </c>
      <c r="J98" s="9"/>
      <c r="K98" s="9"/>
      <c r="L98" s="9"/>
      <c r="M98" s="9"/>
      <c r="N98" s="9"/>
      <c r="O98" s="9"/>
      <c r="P98" s="9"/>
    </row>
    <row r="99" spans="1:16">
      <c r="A99" s="9"/>
      <c r="B99" s="9"/>
      <c r="C99" s="9"/>
      <c r="D99" s="9"/>
      <c r="E99" s="9"/>
      <c r="F99" s="10">
        <f>IF(DataReady,26*$H$68/120,0)</f>
        <v>0</v>
      </c>
      <c r="G99" s="10" t="e">
        <f>IF(I99&gt;0,AVERAGEIFS(tblFrames[FrameTime_ms],tblFrames[Time_s],"&gt;="&amp;F99,tblFrames[Time_s],"&lt;"&amp;(F99+$H$68/120)),NA())</f>
        <v>#N/A</v>
      </c>
      <c r="H99" s="10" t="e">
        <f>IF(I99&gt;0,_xlfn.MAXIFS(tblFrames[FrameTime_ms],tblFrames[Time_s],"&gt;="&amp;F99,tblFrames[Time_s],"&lt;"&amp;(F99+$H$68/120)),NA())</f>
        <v>#N/A</v>
      </c>
      <c r="I99" s="9">
        <f>IF(DataReady,COUNTIFS(tblFrames[Time_s],"&gt;="&amp;F99,tblFrames[Time_s],"&lt;"&amp;(F99+$H$68/120)),0)</f>
        <v>0</v>
      </c>
      <c r="J99" s="9"/>
      <c r="K99" s="9"/>
      <c r="L99" s="9"/>
      <c r="M99" s="9"/>
      <c r="N99" s="9"/>
      <c r="O99" s="9"/>
      <c r="P99" s="9"/>
    </row>
    <row r="100" spans="1:16">
      <c r="A100" s="9"/>
      <c r="B100" s="9"/>
      <c r="C100" s="9"/>
      <c r="D100" s="9"/>
      <c r="E100" s="9"/>
      <c r="F100" s="10">
        <f>IF(DataReady,27*$H$68/120,0)</f>
        <v>0</v>
      </c>
      <c r="G100" s="10" t="e">
        <f>IF(I100&gt;0,AVERAGEIFS(tblFrames[FrameTime_ms],tblFrames[Time_s],"&gt;="&amp;F100,tblFrames[Time_s],"&lt;"&amp;(F100+$H$68/120)),NA())</f>
        <v>#N/A</v>
      </c>
      <c r="H100" s="10" t="e">
        <f>IF(I100&gt;0,_xlfn.MAXIFS(tblFrames[FrameTime_ms],tblFrames[Time_s],"&gt;="&amp;F100,tblFrames[Time_s],"&lt;"&amp;(F100+$H$68/120)),NA())</f>
        <v>#N/A</v>
      </c>
      <c r="I100" s="9">
        <f>IF(DataReady,COUNTIFS(tblFrames[Time_s],"&gt;="&amp;F100,tblFrames[Time_s],"&lt;"&amp;(F100+$H$68/120)),0)</f>
        <v>0</v>
      </c>
      <c r="J100" s="9"/>
      <c r="K100" s="9"/>
      <c r="L100" s="9"/>
      <c r="M100" s="9"/>
      <c r="N100" s="9"/>
      <c r="O100" s="9"/>
      <c r="P100" s="9"/>
    </row>
    <row r="101" spans="1:16">
      <c r="A101" s="9"/>
      <c r="B101" s="9"/>
      <c r="C101" s="9"/>
      <c r="D101" s="9"/>
      <c r="E101" s="9"/>
      <c r="F101" s="10">
        <f>IF(DataReady,28*$H$68/120,0)</f>
        <v>0</v>
      </c>
      <c r="G101" s="10" t="e">
        <f>IF(I101&gt;0,AVERAGEIFS(tblFrames[FrameTime_ms],tblFrames[Time_s],"&gt;="&amp;F101,tblFrames[Time_s],"&lt;"&amp;(F101+$H$68/120)),NA())</f>
        <v>#N/A</v>
      </c>
      <c r="H101" s="10" t="e">
        <f>IF(I101&gt;0,_xlfn.MAXIFS(tblFrames[FrameTime_ms],tblFrames[Time_s],"&gt;="&amp;F101,tblFrames[Time_s],"&lt;"&amp;(F101+$H$68/120)),NA())</f>
        <v>#N/A</v>
      </c>
      <c r="I101" s="9">
        <f>IF(DataReady,COUNTIFS(tblFrames[Time_s],"&gt;="&amp;F101,tblFrames[Time_s],"&lt;"&amp;(F101+$H$68/120)),0)</f>
        <v>0</v>
      </c>
      <c r="J101" s="9"/>
      <c r="K101" s="9"/>
      <c r="L101" s="9"/>
      <c r="M101" s="9"/>
      <c r="N101" s="9"/>
      <c r="O101" s="9"/>
      <c r="P101" s="9"/>
    </row>
    <row r="102" spans="1:16">
      <c r="A102" s="9"/>
      <c r="B102" s="9"/>
      <c r="C102" s="9"/>
      <c r="D102" s="9"/>
      <c r="E102" s="9"/>
      <c r="F102" s="10">
        <f>IF(DataReady,29*$H$68/120,0)</f>
        <v>0</v>
      </c>
      <c r="G102" s="10" t="e">
        <f>IF(I102&gt;0,AVERAGEIFS(tblFrames[FrameTime_ms],tblFrames[Time_s],"&gt;="&amp;F102,tblFrames[Time_s],"&lt;"&amp;(F102+$H$68/120)),NA())</f>
        <v>#N/A</v>
      </c>
      <c r="H102" s="10" t="e">
        <f>IF(I102&gt;0,_xlfn.MAXIFS(tblFrames[FrameTime_ms],tblFrames[Time_s],"&gt;="&amp;F102,tblFrames[Time_s],"&lt;"&amp;(F102+$H$68/120)),NA())</f>
        <v>#N/A</v>
      </c>
      <c r="I102" s="9">
        <f>IF(DataReady,COUNTIFS(tblFrames[Time_s],"&gt;="&amp;F102,tblFrames[Time_s],"&lt;"&amp;(F102+$H$68/120)),0)</f>
        <v>0</v>
      </c>
      <c r="J102" s="9"/>
      <c r="K102" s="9"/>
      <c r="L102" s="9"/>
      <c r="M102" s="9"/>
      <c r="N102" s="9"/>
      <c r="O102" s="9"/>
      <c r="P102" s="9"/>
    </row>
    <row r="103" spans="1:16">
      <c r="A103" s="9"/>
      <c r="B103" s="9"/>
      <c r="C103" s="9"/>
      <c r="D103" s="9"/>
      <c r="E103" s="9"/>
      <c r="F103" s="10">
        <f>IF(DataReady,30*$H$68/120,0)</f>
        <v>0</v>
      </c>
      <c r="G103" s="10" t="e">
        <f>IF(I103&gt;0,AVERAGEIFS(tblFrames[FrameTime_ms],tblFrames[Time_s],"&gt;="&amp;F103,tblFrames[Time_s],"&lt;"&amp;(F103+$H$68/120)),NA())</f>
        <v>#N/A</v>
      </c>
      <c r="H103" s="10" t="e">
        <f>IF(I103&gt;0,_xlfn.MAXIFS(tblFrames[FrameTime_ms],tblFrames[Time_s],"&gt;="&amp;F103,tblFrames[Time_s],"&lt;"&amp;(F103+$H$68/120)),NA())</f>
        <v>#N/A</v>
      </c>
      <c r="I103" s="9">
        <f>IF(DataReady,COUNTIFS(tblFrames[Time_s],"&gt;="&amp;F103,tblFrames[Time_s],"&lt;"&amp;(F103+$H$68/120)),0)</f>
        <v>0</v>
      </c>
      <c r="J103" s="9"/>
      <c r="K103" s="9"/>
      <c r="L103" s="9"/>
      <c r="M103" s="9"/>
      <c r="N103" s="9"/>
      <c r="O103" s="9"/>
      <c r="P103" s="9"/>
    </row>
    <row r="104" spans="1:16">
      <c r="A104" s="9"/>
      <c r="B104" s="9"/>
      <c r="C104" s="9"/>
      <c r="D104" s="9"/>
      <c r="E104" s="9"/>
      <c r="F104" s="10">
        <f>IF(DataReady,31*$H$68/120,0)</f>
        <v>0</v>
      </c>
      <c r="G104" s="10" t="e">
        <f>IF(I104&gt;0,AVERAGEIFS(tblFrames[FrameTime_ms],tblFrames[Time_s],"&gt;="&amp;F104,tblFrames[Time_s],"&lt;"&amp;(F104+$H$68/120)),NA())</f>
        <v>#N/A</v>
      </c>
      <c r="H104" s="10" t="e">
        <f>IF(I104&gt;0,_xlfn.MAXIFS(tblFrames[FrameTime_ms],tblFrames[Time_s],"&gt;="&amp;F104,tblFrames[Time_s],"&lt;"&amp;(F104+$H$68/120)),NA())</f>
        <v>#N/A</v>
      </c>
      <c r="I104" s="9">
        <f>IF(DataReady,COUNTIFS(tblFrames[Time_s],"&gt;="&amp;F104,tblFrames[Time_s],"&lt;"&amp;(F104+$H$68/120)),0)</f>
        <v>0</v>
      </c>
      <c r="J104" s="9"/>
      <c r="K104" s="9"/>
      <c r="L104" s="9"/>
      <c r="M104" s="9"/>
      <c r="N104" s="9"/>
      <c r="O104" s="9"/>
      <c r="P104" s="9"/>
    </row>
    <row r="105" spans="1:16">
      <c r="A105" s="9"/>
      <c r="B105" s="9"/>
      <c r="C105" s="9"/>
      <c r="D105" s="9"/>
      <c r="E105" s="9"/>
      <c r="F105" s="10">
        <f>IF(DataReady,32*$H$68/120,0)</f>
        <v>0</v>
      </c>
      <c r="G105" s="10" t="e">
        <f>IF(I105&gt;0,AVERAGEIFS(tblFrames[FrameTime_ms],tblFrames[Time_s],"&gt;="&amp;F105,tblFrames[Time_s],"&lt;"&amp;(F105+$H$68/120)),NA())</f>
        <v>#N/A</v>
      </c>
      <c r="H105" s="10" t="e">
        <f>IF(I105&gt;0,_xlfn.MAXIFS(tblFrames[FrameTime_ms],tblFrames[Time_s],"&gt;="&amp;F105,tblFrames[Time_s],"&lt;"&amp;(F105+$H$68/120)),NA())</f>
        <v>#N/A</v>
      </c>
      <c r="I105" s="9">
        <f>IF(DataReady,COUNTIFS(tblFrames[Time_s],"&gt;="&amp;F105,tblFrames[Time_s],"&lt;"&amp;(F105+$H$68/120)),0)</f>
        <v>0</v>
      </c>
      <c r="J105" s="9"/>
      <c r="K105" s="9"/>
      <c r="L105" s="9"/>
      <c r="M105" s="9"/>
      <c r="N105" s="9"/>
      <c r="O105" s="9"/>
      <c r="P105" s="9"/>
    </row>
    <row r="106" spans="1:16">
      <c r="A106" s="9"/>
      <c r="B106" s="9"/>
      <c r="C106" s="9"/>
      <c r="D106" s="9"/>
      <c r="E106" s="9"/>
      <c r="F106" s="10">
        <f>IF(DataReady,33*$H$68/120,0)</f>
        <v>0</v>
      </c>
      <c r="G106" s="10" t="e">
        <f>IF(I106&gt;0,AVERAGEIFS(tblFrames[FrameTime_ms],tblFrames[Time_s],"&gt;="&amp;F106,tblFrames[Time_s],"&lt;"&amp;(F106+$H$68/120)),NA())</f>
        <v>#N/A</v>
      </c>
      <c r="H106" s="10" t="e">
        <f>IF(I106&gt;0,_xlfn.MAXIFS(tblFrames[FrameTime_ms],tblFrames[Time_s],"&gt;="&amp;F106,tblFrames[Time_s],"&lt;"&amp;(F106+$H$68/120)),NA())</f>
        <v>#N/A</v>
      </c>
      <c r="I106" s="9">
        <f>IF(DataReady,COUNTIFS(tblFrames[Time_s],"&gt;="&amp;F106,tblFrames[Time_s],"&lt;"&amp;(F106+$H$68/120)),0)</f>
        <v>0</v>
      </c>
      <c r="J106" s="9"/>
      <c r="K106" s="9"/>
      <c r="L106" s="9"/>
      <c r="M106" s="9"/>
      <c r="N106" s="9"/>
      <c r="O106" s="9"/>
      <c r="P106" s="9"/>
    </row>
    <row r="107" spans="1:16">
      <c r="A107" s="9"/>
      <c r="B107" s="9"/>
      <c r="C107" s="9"/>
      <c r="D107" s="9"/>
      <c r="E107" s="9"/>
      <c r="F107" s="10">
        <f>IF(DataReady,34*$H$68/120,0)</f>
        <v>0</v>
      </c>
      <c r="G107" s="10" t="e">
        <f>IF(I107&gt;0,AVERAGEIFS(tblFrames[FrameTime_ms],tblFrames[Time_s],"&gt;="&amp;F107,tblFrames[Time_s],"&lt;"&amp;(F107+$H$68/120)),NA())</f>
        <v>#N/A</v>
      </c>
      <c r="H107" s="10" t="e">
        <f>IF(I107&gt;0,_xlfn.MAXIFS(tblFrames[FrameTime_ms],tblFrames[Time_s],"&gt;="&amp;F107,tblFrames[Time_s],"&lt;"&amp;(F107+$H$68/120)),NA())</f>
        <v>#N/A</v>
      </c>
      <c r="I107" s="9">
        <f>IF(DataReady,COUNTIFS(tblFrames[Time_s],"&gt;="&amp;F107,tblFrames[Time_s],"&lt;"&amp;(F107+$H$68/120)),0)</f>
        <v>0</v>
      </c>
      <c r="J107" s="9"/>
      <c r="K107" s="9"/>
      <c r="L107" s="9"/>
      <c r="M107" s="9"/>
      <c r="N107" s="9"/>
      <c r="O107" s="9"/>
      <c r="P107" s="9"/>
    </row>
    <row r="108" spans="1:16">
      <c r="A108" s="9"/>
      <c r="B108" s="9"/>
      <c r="C108" s="9"/>
      <c r="D108" s="9"/>
      <c r="E108" s="9"/>
      <c r="F108" s="10">
        <f>IF(DataReady,35*$H$68/120,0)</f>
        <v>0</v>
      </c>
      <c r="G108" s="10" t="e">
        <f>IF(I108&gt;0,AVERAGEIFS(tblFrames[FrameTime_ms],tblFrames[Time_s],"&gt;="&amp;F108,tblFrames[Time_s],"&lt;"&amp;(F108+$H$68/120)),NA())</f>
        <v>#N/A</v>
      </c>
      <c r="H108" s="10" t="e">
        <f>IF(I108&gt;0,_xlfn.MAXIFS(tblFrames[FrameTime_ms],tblFrames[Time_s],"&gt;="&amp;F108,tblFrames[Time_s],"&lt;"&amp;(F108+$H$68/120)),NA())</f>
        <v>#N/A</v>
      </c>
      <c r="I108" s="9">
        <f>IF(DataReady,COUNTIFS(tblFrames[Time_s],"&gt;="&amp;F108,tblFrames[Time_s],"&lt;"&amp;(F108+$H$68/120)),0)</f>
        <v>0</v>
      </c>
      <c r="J108" s="9"/>
      <c r="K108" s="9"/>
      <c r="L108" s="9"/>
      <c r="M108" s="9"/>
      <c r="N108" s="9"/>
      <c r="O108" s="9"/>
      <c r="P108" s="9"/>
    </row>
    <row r="109" spans="1:16">
      <c r="A109" s="9"/>
      <c r="B109" s="9"/>
      <c r="C109" s="9"/>
      <c r="D109" s="9"/>
      <c r="E109" s="9"/>
      <c r="F109" s="10">
        <f>IF(DataReady,36*$H$68/120,0)</f>
        <v>0</v>
      </c>
      <c r="G109" s="10" t="e">
        <f>IF(I109&gt;0,AVERAGEIFS(tblFrames[FrameTime_ms],tblFrames[Time_s],"&gt;="&amp;F109,tblFrames[Time_s],"&lt;"&amp;(F109+$H$68/120)),NA())</f>
        <v>#N/A</v>
      </c>
      <c r="H109" s="10" t="e">
        <f>IF(I109&gt;0,_xlfn.MAXIFS(tblFrames[FrameTime_ms],tblFrames[Time_s],"&gt;="&amp;F109,tblFrames[Time_s],"&lt;"&amp;(F109+$H$68/120)),NA())</f>
        <v>#N/A</v>
      </c>
      <c r="I109" s="9">
        <f>IF(DataReady,COUNTIFS(tblFrames[Time_s],"&gt;="&amp;F109,tblFrames[Time_s],"&lt;"&amp;(F109+$H$68/120)),0)</f>
        <v>0</v>
      </c>
      <c r="J109" s="9"/>
      <c r="K109" s="9"/>
      <c r="L109" s="9"/>
      <c r="M109" s="9"/>
      <c r="N109" s="9"/>
      <c r="O109" s="9"/>
      <c r="P109" s="9"/>
    </row>
    <row r="110" spans="1:16">
      <c r="A110" s="9"/>
      <c r="B110" s="9"/>
      <c r="C110" s="9"/>
      <c r="D110" s="9"/>
      <c r="E110" s="9"/>
      <c r="F110" s="10">
        <f>IF(DataReady,37*$H$68/120,0)</f>
        <v>0</v>
      </c>
      <c r="G110" s="10" t="e">
        <f>IF(I110&gt;0,AVERAGEIFS(tblFrames[FrameTime_ms],tblFrames[Time_s],"&gt;="&amp;F110,tblFrames[Time_s],"&lt;"&amp;(F110+$H$68/120)),NA())</f>
        <v>#N/A</v>
      </c>
      <c r="H110" s="10" t="e">
        <f>IF(I110&gt;0,_xlfn.MAXIFS(tblFrames[FrameTime_ms],tblFrames[Time_s],"&gt;="&amp;F110,tblFrames[Time_s],"&lt;"&amp;(F110+$H$68/120)),NA())</f>
        <v>#N/A</v>
      </c>
      <c r="I110" s="9">
        <f>IF(DataReady,COUNTIFS(tblFrames[Time_s],"&gt;="&amp;F110,tblFrames[Time_s],"&lt;"&amp;(F110+$H$68/120)),0)</f>
        <v>0</v>
      </c>
      <c r="J110" s="9"/>
      <c r="K110" s="9"/>
      <c r="L110" s="9"/>
      <c r="M110" s="9"/>
      <c r="N110" s="9"/>
      <c r="O110" s="9"/>
      <c r="P110" s="9"/>
    </row>
    <row r="111" spans="1:16">
      <c r="A111" s="9"/>
      <c r="B111" s="9"/>
      <c r="C111" s="9"/>
      <c r="D111" s="9"/>
      <c r="E111" s="9"/>
      <c r="F111" s="10">
        <f>IF(DataReady,38*$H$68/120,0)</f>
        <v>0</v>
      </c>
      <c r="G111" s="10" t="e">
        <f>IF(I111&gt;0,AVERAGEIFS(tblFrames[FrameTime_ms],tblFrames[Time_s],"&gt;="&amp;F111,tblFrames[Time_s],"&lt;"&amp;(F111+$H$68/120)),NA())</f>
        <v>#N/A</v>
      </c>
      <c r="H111" s="10" t="e">
        <f>IF(I111&gt;0,_xlfn.MAXIFS(tblFrames[FrameTime_ms],tblFrames[Time_s],"&gt;="&amp;F111,tblFrames[Time_s],"&lt;"&amp;(F111+$H$68/120)),NA())</f>
        <v>#N/A</v>
      </c>
      <c r="I111" s="9">
        <f>IF(DataReady,COUNTIFS(tblFrames[Time_s],"&gt;="&amp;F111,tblFrames[Time_s],"&lt;"&amp;(F111+$H$68/120)),0)</f>
        <v>0</v>
      </c>
      <c r="J111" s="9"/>
      <c r="K111" s="9"/>
      <c r="L111" s="9"/>
      <c r="M111" s="9"/>
      <c r="N111" s="9"/>
      <c r="O111" s="9"/>
      <c r="P111" s="9"/>
    </row>
    <row r="112" spans="1:16">
      <c r="A112" s="9"/>
      <c r="B112" s="9"/>
      <c r="C112" s="9"/>
      <c r="D112" s="9"/>
      <c r="E112" s="9"/>
      <c r="F112" s="10">
        <f>IF(DataReady,39*$H$68/120,0)</f>
        <v>0</v>
      </c>
      <c r="G112" s="10" t="e">
        <f>IF(I112&gt;0,AVERAGEIFS(tblFrames[FrameTime_ms],tblFrames[Time_s],"&gt;="&amp;F112,tblFrames[Time_s],"&lt;"&amp;(F112+$H$68/120)),NA())</f>
        <v>#N/A</v>
      </c>
      <c r="H112" s="10" t="e">
        <f>IF(I112&gt;0,_xlfn.MAXIFS(tblFrames[FrameTime_ms],tblFrames[Time_s],"&gt;="&amp;F112,tblFrames[Time_s],"&lt;"&amp;(F112+$H$68/120)),NA())</f>
        <v>#N/A</v>
      </c>
      <c r="I112" s="9">
        <f>IF(DataReady,COUNTIFS(tblFrames[Time_s],"&gt;="&amp;F112,tblFrames[Time_s],"&lt;"&amp;(F112+$H$68/120)),0)</f>
        <v>0</v>
      </c>
      <c r="J112" s="9"/>
      <c r="K112" s="9"/>
      <c r="L112" s="9"/>
      <c r="M112" s="9"/>
      <c r="N112" s="9"/>
      <c r="O112" s="9"/>
      <c r="P112" s="9"/>
    </row>
    <row r="113" spans="1:16">
      <c r="A113" s="9"/>
      <c r="B113" s="9"/>
      <c r="C113" s="9"/>
      <c r="D113" s="9"/>
      <c r="E113" s="9"/>
      <c r="F113" s="10">
        <f>IF(DataReady,40*$H$68/120,0)</f>
        <v>0</v>
      </c>
      <c r="G113" s="10" t="e">
        <f>IF(I113&gt;0,AVERAGEIFS(tblFrames[FrameTime_ms],tblFrames[Time_s],"&gt;="&amp;F113,tblFrames[Time_s],"&lt;"&amp;(F113+$H$68/120)),NA())</f>
        <v>#N/A</v>
      </c>
      <c r="H113" s="10" t="e">
        <f>IF(I113&gt;0,_xlfn.MAXIFS(tblFrames[FrameTime_ms],tblFrames[Time_s],"&gt;="&amp;F113,tblFrames[Time_s],"&lt;"&amp;(F113+$H$68/120)),NA())</f>
        <v>#N/A</v>
      </c>
      <c r="I113" s="9">
        <f>IF(DataReady,COUNTIFS(tblFrames[Time_s],"&gt;="&amp;F113,tblFrames[Time_s],"&lt;"&amp;(F113+$H$68/120)),0)</f>
        <v>0</v>
      </c>
      <c r="J113" s="9"/>
      <c r="K113" s="9"/>
      <c r="L113" s="9"/>
      <c r="M113" s="9"/>
      <c r="N113" s="9"/>
      <c r="O113" s="9"/>
      <c r="P113" s="9"/>
    </row>
    <row r="114" spans="1:16">
      <c r="A114" s="9"/>
      <c r="B114" s="9"/>
      <c r="C114" s="9"/>
      <c r="D114" s="9"/>
      <c r="E114" s="9"/>
      <c r="F114" s="10">
        <f>IF(DataReady,41*$H$68/120,0)</f>
        <v>0</v>
      </c>
      <c r="G114" s="10" t="e">
        <f>IF(I114&gt;0,AVERAGEIFS(tblFrames[FrameTime_ms],tblFrames[Time_s],"&gt;="&amp;F114,tblFrames[Time_s],"&lt;"&amp;(F114+$H$68/120)),NA())</f>
        <v>#N/A</v>
      </c>
      <c r="H114" s="10" t="e">
        <f>IF(I114&gt;0,_xlfn.MAXIFS(tblFrames[FrameTime_ms],tblFrames[Time_s],"&gt;="&amp;F114,tblFrames[Time_s],"&lt;"&amp;(F114+$H$68/120)),NA())</f>
        <v>#N/A</v>
      </c>
      <c r="I114" s="9">
        <f>IF(DataReady,COUNTIFS(tblFrames[Time_s],"&gt;="&amp;F114,tblFrames[Time_s],"&lt;"&amp;(F114+$H$68/120)),0)</f>
        <v>0</v>
      </c>
      <c r="J114" s="9"/>
      <c r="K114" s="9"/>
      <c r="L114" s="9"/>
      <c r="M114" s="9"/>
      <c r="N114" s="9"/>
      <c r="O114" s="9"/>
      <c r="P114" s="9"/>
    </row>
    <row r="115" spans="1:16">
      <c r="A115" s="9"/>
      <c r="B115" s="9"/>
      <c r="C115" s="9"/>
      <c r="D115" s="9"/>
      <c r="E115" s="9"/>
      <c r="F115" s="10">
        <f>IF(DataReady,42*$H$68/120,0)</f>
        <v>0</v>
      </c>
      <c r="G115" s="10" t="e">
        <f>IF(I115&gt;0,AVERAGEIFS(tblFrames[FrameTime_ms],tblFrames[Time_s],"&gt;="&amp;F115,tblFrames[Time_s],"&lt;"&amp;(F115+$H$68/120)),NA())</f>
        <v>#N/A</v>
      </c>
      <c r="H115" s="10" t="e">
        <f>IF(I115&gt;0,_xlfn.MAXIFS(tblFrames[FrameTime_ms],tblFrames[Time_s],"&gt;="&amp;F115,tblFrames[Time_s],"&lt;"&amp;(F115+$H$68/120)),NA())</f>
        <v>#N/A</v>
      </c>
      <c r="I115" s="9">
        <f>IF(DataReady,COUNTIFS(tblFrames[Time_s],"&gt;="&amp;F115,tblFrames[Time_s],"&lt;"&amp;(F115+$H$68/120)),0)</f>
        <v>0</v>
      </c>
      <c r="J115" s="9"/>
      <c r="K115" s="9"/>
      <c r="L115" s="9"/>
      <c r="M115" s="9"/>
      <c r="N115" s="9"/>
      <c r="O115" s="9"/>
      <c r="P115" s="9"/>
    </row>
    <row r="116" spans="1:16">
      <c r="A116" s="9"/>
      <c r="B116" s="9"/>
      <c r="C116" s="9"/>
      <c r="D116" s="9"/>
      <c r="E116" s="9"/>
      <c r="F116" s="10">
        <f>IF(DataReady,43*$H$68/120,0)</f>
        <v>0</v>
      </c>
      <c r="G116" s="10" t="e">
        <f>IF(I116&gt;0,AVERAGEIFS(tblFrames[FrameTime_ms],tblFrames[Time_s],"&gt;="&amp;F116,tblFrames[Time_s],"&lt;"&amp;(F116+$H$68/120)),NA())</f>
        <v>#N/A</v>
      </c>
      <c r="H116" s="10" t="e">
        <f>IF(I116&gt;0,_xlfn.MAXIFS(tblFrames[FrameTime_ms],tblFrames[Time_s],"&gt;="&amp;F116,tblFrames[Time_s],"&lt;"&amp;(F116+$H$68/120)),NA())</f>
        <v>#N/A</v>
      </c>
      <c r="I116" s="9">
        <f>IF(DataReady,COUNTIFS(tblFrames[Time_s],"&gt;="&amp;F116,tblFrames[Time_s],"&lt;"&amp;(F116+$H$68/120)),0)</f>
        <v>0</v>
      </c>
      <c r="J116" s="9"/>
      <c r="K116" s="9"/>
      <c r="L116" s="9"/>
      <c r="M116" s="9"/>
      <c r="N116" s="9"/>
      <c r="O116" s="9"/>
      <c r="P116" s="9"/>
    </row>
    <row r="117" spans="1:16">
      <c r="A117" s="9"/>
      <c r="B117" s="9"/>
      <c r="C117" s="9"/>
      <c r="D117" s="9"/>
      <c r="E117" s="9"/>
      <c r="F117" s="10">
        <f>IF(DataReady,44*$H$68/120,0)</f>
        <v>0</v>
      </c>
      <c r="G117" s="10" t="e">
        <f>IF(I117&gt;0,AVERAGEIFS(tblFrames[FrameTime_ms],tblFrames[Time_s],"&gt;="&amp;F117,tblFrames[Time_s],"&lt;"&amp;(F117+$H$68/120)),NA())</f>
        <v>#N/A</v>
      </c>
      <c r="H117" s="10" t="e">
        <f>IF(I117&gt;0,_xlfn.MAXIFS(tblFrames[FrameTime_ms],tblFrames[Time_s],"&gt;="&amp;F117,tblFrames[Time_s],"&lt;"&amp;(F117+$H$68/120)),NA())</f>
        <v>#N/A</v>
      </c>
      <c r="I117" s="9">
        <f>IF(DataReady,COUNTIFS(tblFrames[Time_s],"&gt;="&amp;F117,tblFrames[Time_s],"&lt;"&amp;(F117+$H$68/120)),0)</f>
        <v>0</v>
      </c>
      <c r="J117" s="9"/>
      <c r="K117" s="9"/>
      <c r="L117" s="9"/>
      <c r="M117" s="9"/>
      <c r="N117" s="9"/>
      <c r="O117" s="9"/>
      <c r="P117" s="9"/>
    </row>
    <row r="118" spans="1:16">
      <c r="A118" s="9"/>
      <c r="B118" s="9"/>
      <c r="C118" s="9"/>
      <c r="D118" s="9"/>
      <c r="E118" s="9"/>
      <c r="F118" s="10">
        <f>IF(DataReady,45*$H$68/120,0)</f>
        <v>0</v>
      </c>
      <c r="G118" s="10" t="e">
        <f>IF(I118&gt;0,AVERAGEIFS(tblFrames[FrameTime_ms],tblFrames[Time_s],"&gt;="&amp;F118,tblFrames[Time_s],"&lt;"&amp;(F118+$H$68/120)),NA())</f>
        <v>#N/A</v>
      </c>
      <c r="H118" s="10" t="e">
        <f>IF(I118&gt;0,_xlfn.MAXIFS(tblFrames[FrameTime_ms],tblFrames[Time_s],"&gt;="&amp;F118,tblFrames[Time_s],"&lt;"&amp;(F118+$H$68/120)),NA())</f>
        <v>#N/A</v>
      </c>
      <c r="I118" s="9">
        <f>IF(DataReady,COUNTIFS(tblFrames[Time_s],"&gt;="&amp;F118,tblFrames[Time_s],"&lt;"&amp;(F118+$H$68/120)),0)</f>
        <v>0</v>
      </c>
      <c r="J118" s="9"/>
      <c r="K118" s="9"/>
      <c r="L118" s="9"/>
      <c r="M118" s="9"/>
      <c r="N118" s="9"/>
      <c r="O118" s="9"/>
      <c r="P118" s="9"/>
    </row>
    <row r="119" spans="1:16">
      <c r="A119" s="9"/>
      <c r="B119" s="9"/>
      <c r="C119" s="9"/>
      <c r="D119" s="9"/>
      <c r="E119" s="9"/>
      <c r="F119" s="10">
        <f>IF(DataReady,46*$H$68/120,0)</f>
        <v>0</v>
      </c>
      <c r="G119" s="10" t="e">
        <f>IF(I119&gt;0,AVERAGEIFS(tblFrames[FrameTime_ms],tblFrames[Time_s],"&gt;="&amp;F119,tblFrames[Time_s],"&lt;"&amp;(F119+$H$68/120)),NA())</f>
        <v>#N/A</v>
      </c>
      <c r="H119" s="10" t="e">
        <f>IF(I119&gt;0,_xlfn.MAXIFS(tblFrames[FrameTime_ms],tblFrames[Time_s],"&gt;="&amp;F119,tblFrames[Time_s],"&lt;"&amp;(F119+$H$68/120)),NA())</f>
        <v>#N/A</v>
      </c>
      <c r="I119" s="9">
        <f>IF(DataReady,COUNTIFS(tblFrames[Time_s],"&gt;="&amp;F119,tblFrames[Time_s],"&lt;"&amp;(F119+$H$68/120)),0)</f>
        <v>0</v>
      </c>
      <c r="J119" s="9"/>
      <c r="K119" s="9"/>
      <c r="L119" s="9"/>
      <c r="M119" s="9"/>
      <c r="N119" s="9"/>
      <c r="O119" s="9"/>
      <c r="P119" s="9"/>
    </row>
    <row r="120" spans="1:16">
      <c r="A120" s="9"/>
      <c r="B120" s="9"/>
      <c r="C120" s="9"/>
      <c r="D120" s="9"/>
      <c r="E120" s="9"/>
      <c r="F120" s="10">
        <f>IF(DataReady,47*$H$68/120,0)</f>
        <v>0</v>
      </c>
      <c r="G120" s="10" t="e">
        <f>IF(I120&gt;0,AVERAGEIFS(tblFrames[FrameTime_ms],tblFrames[Time_s],"&gt;="&amp;F120,tblFrames[Time_s],"&lt;"&amp;(F120+$H$68/120)),NA())</f>
        <v>#N/A</v>
      </c>
      <c r="H120" s="10" t="e">
        <f>IF(I120&gt;0,_xlfn.MAXIFS(tblFrames[FrameTime_ms],tblFrames[Time_s],"&gt;="&amp;F120,tblFrames[Time_s],"&lt;"&amp;(F120+$H$68/120)),NA())</f>
        <v>#N/A</v>
      </c>
      <c r="I120" s="9">
        <f>IF(DataReady,COUNTIFS(tblFrames[Time_s],"&gt;="&amp;F120,tblFrames[Time_s],"&lt;"&amp;(F120+$H$68/120)),0)</f>
        <v>0</v>
      </c>
      <c r="J120" s="9"/>
      <c r="K120" s="9"/>
      <c r="L120" s="9"/>
      <c r="M120" s="9"/>
      <c r="N120" s="9"/>
      <c r="O120" s="9"/>
      <c r="P120" s="9"/>
    </row>
    <row r="121" spans="1:16">
      <c r="A121" s="9"/>
      <c r="B121" s="9"/>
      <c r="C121" s="9"/>
      <c r="D121" s="9"/>
      <c r="E121" s="9"/>
      <c r="F121" s="10">
        <f>IF(DataReady,48*$H$68/120,0)</f>
        <v>0</v>
      </c>
      <c r="G121" s="10" t="e">
        <f>IF(I121&gt;0,AVERAGEIFS(tblFrames[FrameTime_ms],tblFrames[Time_s],"&gt;="&amp;F121,tblFrames[Time_s],"&lt;"&amp;(F121+$H$68/120)),NA())</f>
        <v>#N/A</v>
      </c>
      <c r="H121" s="10" t="e">
        <f>IF(I121&gt;0,_xlfn.MAXIFS(tblFrames[FrameTime_ms],tblFrames[Time_s],"&gt;="&amp;F121,tblFrames[Time_s],"&lt;"&amp;(F121+$H$68/120)),NA())</f>
        <v>#N/A</v>
      </c>
      <c r="I121" s="9">
        <f>IF(DataReady,COUNTIFS(tblFrames[Time_s],"&gt;="&amp;F121,tblFrames[Time_s],"&lt;"&amp;(F121+$H$68/120)),0)</f>
        <v>0</v>
      </c>
      <c r="J121" s="9"/>
      <c r="K121" s="9"/>
      <c r="L121" s="9"/>
      <c r="M121" s="9"/>
      <c r="N121" s="9"/>
      <c r="O121" s="9"/>
      <c r="P121" s="9"/>
    </row>
    <row r="122" spans="1:16">
      <c r="A122" s="9"/>
      <c r="B122" s="9"/>
      <c r="C122" s="9"/>
      <c r="D122" s="9"/>
      <c r="E122" s="9"/>
      <c r="F122" s="10">
        <f>IF(DataReady,49*$H$68/120,0)</f>
        <v>0</v>
      </c>
      <c r="G122" s="10" t="e">
        <f>IF(I122&gt;0,AVERAGEIFS(tblFrames[FrameTime_ms],tblFrames[Time_s],"&gt;="&amp;F122,tblFrames[Time_s],"&lt;"&amp;(F122+$H$68/120)),NA())</f>
        <v>#N/A</v>
      </c>
      <c r="H122" s="10" t="e">
        <f>IF(I122&gt;0,_xlfn.MAXIFS(tblFrames[FrameTime_ms],tblFrames[Time_s],"&gt;="&amp;F122,tblFrames[Time_s],"&lt;"&amp;(F122+$H$68/120)),NA())</f>
        <v>#N/A</v>
      </c>
      <c r="I122" s="9">
        <f>IF(DataReady,COUNTIFS(tblFrames[Time_s],"&gt;="&amp;F122,tblFrames[Time_s],"&lt;"&amp;(F122+$H$68/120)),0)</f>
        <v>0</v>
      </c>
      <c r="J122" s="9"/>
      <c r="K122" s="9"/>
      <c r="L122" s="9"/>
      <c r="M122" s="9"/>
      <c r="N122" s="9"/>
      <c r="O122" s="9"/>
      <c r="P122" s="9"/>
    </row>
    <row r="123" spans="1:16">
      <c r="A123" s="9"/>
      <c r="B123" s="9"/>
      <c r="C123" s="9"/>
      <c r="D123" s="9"/>
      <c r="E123" s="9"/>
      <c r="F123" s="10">
        <f>IF(DataReady,50*$H$68/120,0)</f>
        <v>0</v>
      </c>
      <c r="G123" s="10" t="e">
        <f>IF(I123&gt;0,AVERAGEIFS(tblFrames[FrameTime_ms],tblFrames[Time_s],"&gt;="&amp;F123,tblFrames[Time_s],"&lt;"&amp;(F123+$H$68/120)),NA())</f>
        <v>#N/A</v>
      </c>
      <c r="H123" s="10" t="e">
        <f>IF(I123&gt;0,_xlfn.MAXIFS(tblFrames[FrameTime_ms],tblFrames[Time_s],"&gt;="&amp;F123,tblFrames[Time_s],"&lt;"&amp;(F123+$H$68/120)),NA())</f>
        <v>#N/A</v>
      </c>
      <c r="I123" s="9">
        <f>IF(DataReady,COUNTIFS(tblFrames[Time_s],"&gt;="&amp;F123,tblFrames[Time_s],"&lt;"&amp;(F123+$H$68/120)),0)</f>
        <v>0</v>
      </c>
      <c r="J123" s="9"/>
      <c r="K123" s="9"/>
      <c r="L123" s="9"/>
      <c r="M123" s="9"/>
      <c r="N123" s="9"/>
      <c r="O123" s="9"/>
      <c r="P123" s="9"/>
    </row>
    <row r="124" spans="1:16">
      <c r="A124" s="9"/>
      <c r="B124" s="9"/>
      <c r="C124" s="9"/>
      <c r="D124" s="9"/>
      <c r="E124" s="9"/>
      <c r="F124" s="10">
        <f>IF(DataReady,51*$H$68/120,0)</f>
        <v>0</v>
      </c>
      <c r="G124" s="10" t="e">
        <f>IF(I124&gt;0,AVERAGEIFS(tblFrames[FrameTime_ms],tblFrames[Time_s],"&gt;="&amp;F124,tblFrames[Time_s],"&lt;"&amp;(F124+$H$68/120)),NA())</f>
        <v>#N/A</v>
      </c>
      <c r="H124" s="10" t="e">
        <f>IF(I124&gt;0,_xlfn.MAXIFS(tblFrames[FrameTime_ms],tblFrames[Time_s],"&gt;="&amp;F124,tblFrames[Time_s],"&lt;"&amp;(F124+$H$68/120)),NA())</f>
        <v>#N/A</v>
      </c>
      <c r="I124" s="9">
        <f>IF(DataReady,COUNTIFS(tblFrames[Time_s],"&gt;="&amp;F124,tblFrames[Time_s],"&lt;"&amp;(F124+$H$68/120)),0)</f>
        <v>0</v>
      </c>
      <c r="J124" s="9"/>
      <c r="K124" s="9"/>
      <c r="L124" s="9"/>
      <c r="M124" s="9"/>
      <c r="N124" s="9"/>
      <c r="O124" s="9"/>
      <c r="P124" s="9"/>
    </row>
    <row r="125" spans="1:16">
      <c r="A125" s="9"/>
      <c r="B125" s="9"/>
      <c r="C125" s="9"/>
      <c r="D125" s="9"/>
      <c r="E125" s="9"/>
      <c r="F125" s="10">
        <f>IF(DataReady,52*$H$68/120,0)</f>
        <v>0</v>
      </c>
      <c r="G125" s="10" t="e">
        <f>IF(I125&gt;0,AVERAGEIFS(tblFrames[FrameTime_ms],tblFrames[Time_s],"&gt;="&amp;F125,tblFrames[Time_s],"&lt;"&amp;(F125+$H$68/120)),NA())</f>
        <v>#N/A</v>
      </c>
      <c r="H125" s="10" t="e">
        <f>IF(I125&gt;0,_xlfn.MAXIFS(tblFrames[FrameTime_ms],tblFrames[Time_s],"&gt;="&amp;F125,tblFrames[Time_s],"&lt;"&amp;(F125+$H$68/120)),NA())</f>
        <v>#N/A</v>
      </c>
      <c r="I125" s="9">
        <f>IF(DataReady,COUNTIFS(tblFrames[Time_s],"&gt;="&amp;F125,tblFrames[Time_s],"&lt;"&amp;(F125+$H$68/120)),0)</f>
        <v>0</v>
      </c>
      <c r="J125" s="9"/>
      <c r="K125" s="9"/>
      <c r="L125" s="9"/>
      <c r="M125" s="9"/>
      <c r="N125" s="9"/>
      <c r="O125" s="9"/>
      <c r="P125" s="9"/>
    </row>
    <row r="126" spans="1:16">
      <c r="A126" s="9"/>
      <c r="B126" s="9"/>
      <c r="C126" s="9"/>
      <c r="D126" s="9"/>
      <c r="E126" s="9"/>
      <c r="F126" s="10">
        <f>IF(DataReady,53*$H$68/120,0)</f>
        <v>0</v>
      </c>
      <c r="G126" s="10" t="e">
        <f>IF(I126&gt;0,AVERAGEIFS(tblFrames[FrameTime_ms],tblFrames[Time_s],"&gt;="&amp;F126,tblFrames[Time_s],"&lt;"&amp;(F126+$H$68/120)),NA())</f>
        <v>#N/A</v>
      </c>
      <c r="H126" s="10" t="e">
        <f>IF(I126&gt;0,_xlfn.MAXIFS(tblFrames[FrameTime_ms],tblFrames[Time_s],"&gt;="&amp;F126,tblFrames[Time_s],"&lt;"&amp;(F126+$H$68/120)),NA())</f>
        <v>#N/A</v>
      </c>
      <c r="I126" s="9">
        <f>IF(DataReady,COUNTIFS(tblFrames[Time_s],"&gt;="&amp;F126,tblFrames[Time_s],"&lt;"&amp;(F126+$H$68/120)),0)</f>
        <v>0</v>
      </c>
      <c r="J126" s="9"/>
      <c r="K126" s="9"/>
      <c r="L126" s="9"/>
      <c r="M126" s="9"/>
      <c r="N126" s="9"/>
      <c r="O126" s="9"/>
      <c r="P126" s="9"/>
    </row>
    <row r="127" spans="1:16">
      <c r="A127" s="9"/>
      <c r="B127" s="9"/>
      <c r="C127" s="9"/>
      <c r="D127" s="9"/>
      <c r="E127" s="9"/>
      <c r="F127" s="10">
        <f>IF(DataReady,54*$H$68/120,0)</f>
        <v>0</v>
      </c>
      <c r="G127" s="10" t="e">
        <f>IF(I127&gt;0,AVERAGEIFS(tblFrames[FrameTime_ms],tblFrames[Time_s],"&gt;="&amp;F127,tblFrames[Time_s],"&lt;"&amp;(F127+$H$68/120)),NA())</f>
        <v>#N/A</v>
      </c>
      <c r="H127" s="10" t="e">
        <f>IF(I127&gt;0,_xlfn.MAXIFS(tblFrames[FrameTime_ms],tblFrames[Time_s],"&gt;="&amp;F127,tblFrames[Time_s],"&lt;"&amp;(F127+$H$68/120)),NA())</f>
        <v>#N/A</v>
      </c>
      <c r="I127" s="9">
        <f>IF(DataReady,COUNTIFS(tblFrames[Time_s],"&gt;="&amp;F127,tblFrames[Time_s],"&lt;"&amp;(F127+$H$68/120)),0)</f>
        <v>0</v>
      </c>
      <c r="J127" s="9"/>
      <c r="K127" s="9"/>
      <c r="L127" s="9"/>
      <c r="M127" s="9"/>
      <c r="N127" s="9"/>
      <c r="O127" s="9"/>
      <c r="P127" s="9"/>
    </row>
    <row r="128" spans="1:16">
      <c r="A128" s="9"/>
      <c r="B128" s="9"/>
      <c r="C128" s="9"/>
      <c r="D128" s="9"/>
      <c r="E128" s="9"/>
      <c r="F128" s="10">
        <f>IF(DataReady,55*$H$68/120,0)</f>
        <v>0</v>
      </c>
      <c r="G128" s="10" t="e">
        <f>IF(I128&gt;0,AVERAGEIFS(tblFrames[FrameTime_ms],tblFrames[Time_s],"&gt;="&amp;F128,tblFrames[Time_s],"&lt;"&amp;(F128+$H$68/120)),NA())</f>
        <v>#N/A</v>
      </c>
      <c r="H128" s="10" t="e">
        <f>IF(I128&gt;0,_xlfn.MAXIFS(tblFrames[FrameTime_ms],tblFrames[Time_s],"&gt;="&amp;F128,tblFrames[Time_s],"&lt;"&amp;(F128+$H$68/120)),NA())</f>
        <v>#N/A</v>
      </c>
      <c r="I128" s="9">
        <f>IF(DataReady,COUNTIFS(tblFrames[Time_s],"&gt;="&amp;F128,tblFrames[Time_s],"&lt;"&amp;(F128+$H$68/120)),0)</f>
        <v>0</v>
      </c>
      <c r="J128" s="9"/>
      <c r="K128" s="9"/>
      <c r="L128" s="9"/>
      <c r="M128" s="9"/>
      <c r="N128" s="9"/>
      <c r="O128" s="9"/>
      <c r="P128" s="9"/>
    </row>
    <row r="129" spans="1:16">
      <c r="A129" s="9"/>
      <c r="B129" s="9"/>
      <c r="C129" s="9"/>
      <c r="D129" s="9"/>
      <c r="E129" s="9"/>
      <c r="F129" s="10">
        <f>IF(DataReady,56*$H$68/120,0)</f>
        <v>0</v>
      </c>
      <c r="G129" s="10" t="e">
        <f>IF(I129&gt;0,AVERAGEIFS(tblFrames[FrameTime_ms],tblFrames[Time_s],"&gt;="&amp;F129,tblFrames[Time_s],"&lt;"&amp;(F129+$H$68/120)),NA())</f>
        <v>#N/A</v>
      </c>
      <c r="H129" s="10" t="e">
        <f>IF(I129&gt;0,_xlfn.MAXIFS(tblFrames[FrameTime_ms],tblFrames[Time_s],"&gt;="&amp;F129,tblFrames[Time_s],"&lt;"&amp;(F129+$H$68/120)),NA())</f>
        <v>#N/A</v>
      </c>
      <c r="I129" s="9">
        <f>IF(DataReady,COUNTIFS(tblFrames[Time_s],"&gt;="&amp;F129,tblFrames[Time_s],"&lt;"&amp;(F129+$H$68/120)),0)</f>
        <v>0</v>
      </c>
      <c r="J129" s="9"/>
      <c r="K129" s="9"/>
      <c r="L129" s="9"/>
      <c r="M129" s="9"/>
      <c r="N129" s="9"/>
      <c r="O129" s="9"/>
      <c r="P129" s="9"/>
    </row>
    <row r="130" spans="1:16">
      <c r="A130" s="9"/>
      <c r="B130" s="9"/>
      <c r="C130" s="9"/>
      <c r="D130" s="9"/>
      <c r="E130" s="9"/>
      <c r="F130" s="10">
        <f>IF(DataReady,57*$H$68/120,0)</f>
        <v>0</v>
      </c>
      <c r="G130" s="10" t="e">
        <f>IF(I130&gt;0,AVERAGEIFS(tblFrames[FrameTime_ms],tblFrames[Time_s],"&gt;="&amp;F130,tblFrames[Time_s],"&lt;"&amp;(F130+$H$68/120)),NA())</f>
        <v>#N/A</v>
      </c>
      <c r="H130" s="10" t="e">
        <f>IF(I130&gt;0,_xlfn.MAXIFS(tblFrames[FrameTime_ms],tblFrames[Time_s],"&gt;="&amp;F130,tblFrames[Time_s],"&lt;"&amp;(F130+$H$68/120)),NA())</f>
        <v>#N/A</v>
      </c>
      <c r="I130" s="9">
        <f>IF(DataReady,COUNTIFS(tblFrames[Time_s],"&gt;="&amp;F130,tblFrames[Time_s],"&lt;"&amp;(F130+$H$68/120)),0)</f>
        <v>0</v>
      </c>
      <c r="J130" s="9"/>
      <c r="K130" s="9"/>
      <c r="L130" s="9"/>
      <c r="M130" s="9"/>
      <c r="N130" s="9"/>
      <c r="O130" s="9"/>
      <c r="P130" s="9"/>
    </row>
    <row r="131" spans="1:16">
      <c r="A131" s="9"/>
      <c r="B131" s="9"/>
      <c r="C131" s="9"/>
      <c r="D131" s="9"/>
      <c r="E131" s="9"/>
      <c r="F131" s="10">
        <f>IF(DataReady,58*$H$68/120,0)</f>
        <v>0</v>
      </c>
      <c r="G131" s="10" t="e">
        <f>IF(I131&gt;0,AVERAGEIFS(tblFrames[FrameTime_ms],tblFrames[Time_s],"&gt;="&amp;F131,tblFrames[Time_s],"&lt;"&amp;(F131+$H$68/120)),NA())</f>
        <v>#N/A</v>
      </c>
      <c r="H131" s="10" t="e">
        <f>IF(I131&gt;0,_xlfn.MAXIFS(tblFrames[FrameTime_ms],tblFrames[Time_s],"&gt;="&amp;F131,tblFrames[Time_s],"&lt;"&amp;(F131+$H$68/120)),NA())</f>
        <v>#N/A</v>
      </c>
      <c r="I131" s="9">
        <f>IF(DataReady,COUNTIFS(tblFrames[Time_s],"&gt;="&amp;F131,tblFrames[Time_s],"&lt;"&amp;(F131+$H$68/120)),0)</f>
        <v>0</v>
      </c>
      <c r="J131" s="9"/>
      <c r="K131" s="9"/>
      <c r="L131" s="9"/>
      <c r="M131" s="9"/>
      <c r="N131" s="9"/>
      <c r="O131" s="9"/>
      <c r="P131" s="9"/>
    </row>
    <row r="132" spans="1:16">
      <c r="A132" s="9"/>
      <c r="B132" s="9"/>
      <c r="C132" s="9"/>
      <c r="D132" s="9"/>
      <c r="E132" s="9"/>
      <c r="F132" s="10">
        <f>IF(DataReady,59*$H$68/120,0)</f>
        <v>0</v>
      </c>
      <c r="G132" s="10" t="e">
        <f>IF(I132&gt;0,AVERAGEIFS(tblFrames[FrameTime_ms],tblFrames[Time_s],"&gt;="&amp;F132,tblFrames[Time_s],"&lt;"&amp;(F132+$H$68/120)),NA())</f>
        <v>#N/A</v>
      </c>
      <c r="H132" s="10" t="e">
        <f>IF(I132&gt;0,_xlfn.MAXIFS(tblFrames[FrameTime_ms],tblFrames[Time_s],"&gt;="&amp;F132,tblFrames[Time_s],"&lt;"&amp;(F132+$H$68/120)),NA())</f>
        <v>#N/A</v>
      </c>
      <c r="I132" s="9">
        <f>IF(DataReady,COUNTIFS(tblFrames[Time_s],"&gt;="&amp;F132,tblFrames[Time_s],"&lt;"&amp;(F132+$H$68/120)),0)</f>
        <v>0</v>
      </c>
      <c r="J132" s="9"/>
      <c r="K132" s="9"/>
      <c r="L132" s="9"/>
      <c r="M132" s="9"/>
      <c r="N132" s="9"/>
      <c r="O132" s="9"/>
      <c r="P132" s="9"/>
    </row>
    <row r="133" spans="1:16">
      <c r="A133" s="9"/>
      <c r="B133" s="9"/>
      <c r="C133" s="9"/>
      <c r="D133" s="9"/>
      <c r="E133" s="9"/>
      <c r="F133" s="10">
        <f>IF(DataReady,60*$H$68/120,0)</f>
        <v>0</v>
      </c>
      <c r="G133" s="10" t="e">
        <f>IF(I133&gt;0,AVERAGEIFS(tblFrames[FrameTime_ms],tblFrames[Time_s],"&gt;="&amp;F133,tblFrames[Time_s],"&lt;"&amp;(F133+$H$68/120)),NA())</f>
        <v>#N/A</v>
      </c>
      <c r="H133" s="10" t="e">
        <f>IF(I133&gt;0,_xlfn.MAXIFS(tblFrames[FrameTime_ms],tblFrames[Time_s],"&gt;="&amp;F133,tblFrames[Time_s],"&lt;"&amp;(F133+$H$68/120)),NA())</f>
        <v>#N/A</v>
      </c>
      <c r="I133" s="9">
        <f>IF(DataReady,COUNTIFS(tblFrames[Time_s],"&gt;="&amp;F133,tblFrames[Time_s],"&lt;"&amp;(F133+$H$68/120)),0)</f>
        <v>0</v>
      </c>
      <c r="J133" s="9"/>
      <c r="K133" s="9"/>
      <c r="L133" s="9"/>
      <c r="M133" s="9"/>
      <c r="N133" s="9"/>
      <c r="O133" s="9"/>
      <c r="P133" s="9"/>
    </row>
    <row r="134" spans="1:16">
      <c r="A134" s="9"/>
      <c r="B134" s="9"/>
      <c r="C134" s="9"/>
      <c r="D134" s="9"/>
      <c r="E134" s="9"/>
      <c r="F134" s="10">
        <f>IF(DataReady,61*$H$68/120,0)</f>
        <v>0</v>
      </c>
      <c r="G134" s="10" t="e">
        <f>IF(I134&gt;0,AVERAGEIFS(tblFrames[FrameTime_ms],tblFrames[Time_s],"&gt;="&amp;F134,tblFrames[Time_s],"&lt;"&amp;(F134+$H$68/120)),NA())</f>
        <v>#N/A</v>
      </c>
      <c r="H134" s="10" t="e">
        <f>IF(I134&gt;0,_xlfn.MAXIFS(tblFrames[FrameTime_ms],tblFrames[Time_s],"&gt;="&amp;F134,tblFrames[Time_s],"&lt;"&amp;(F134+$H$68/120)),NA())</f>
        <v>#N/A</v>
      </c>
      <c r="I134" s="9">
        <f>IF(DataReady,COUNTIFS(tblFrames[Time_s],"&gt;="&amp;F134,tblFrames[Time_s],"&lt;"&amp;(F134+$H$68/120)),0)</f>
        <v>0</v>
      </c>
      <c r="J134" s="9"/>
      <c r="K134" s="9"/>
      <c r="L134" s="9"/>
      <c r="M134" s="9"/>
      <c r="N134" s="9"/>
      <c r="O134" s="9"/>
      <c r="P134" s="9"/>
    </row>
    <row r="135" spans="1:16">
      <c r="A135" s="9"/>
      <c r="B135" s="9"/>
      <c r="C135" s="9"/>
      <c r="D135" s="9"/>
      <c r="E135" s="9"/>
      <c r="F135" s="10">
        <f>IF(DataReady,62*$H$68/120,0)</f>
        <v>0</v>
      </c>
      <c r="G135" s="10" t="e">
        <f>IF(I135&gt;0,AVERAGEIFS(tblFrames[FrameTime_ms],tblFrames[Time_s],"&gt;="&amp;F135,tblFrames[Time_s],"&lt;"&amp;(F135+$H$68/120)),NA())</f>
        <v>#N/A</v>
      </c>
      <c r="H135" s="10" t="e">
        <f>IF(I135&gt;0,_xlfn.MAXIFS(tblFrames[FrameTime_ms],tblFrames[Time_s],"&gt;="&amp;F135,tblFrames[Time_s],"&lt;"&amp;(F135+$H$68/120)),NA())</f>
        <v>#N/A</v>
      </c>
      <c r="I135" s="9">
        <f>IF(DataReady,COUNTIFS(tblFrames[Time_s],"&gt;="&amp;F135,tblFrames[Time_s],"&lt;"&amp;(F135+$H$68/120)),0)</f>
        <v>0</v>
      </c>
      <c r="J135" s="9"/>
      <c r="K135" s="9"/>
      <c r="L135" s="9"/>
      <c r="M135" s="9"/>
      <c r="N135" s="9"/>
      <c r="O135" s="9"/>
      <c r="P135" s="9"/>
    </row>
    <row r="136" spans="1:16">
      <c r="A136" s="9"/>
      <c r="B136" s="9"/>
      <c r="C136" s="9"/>
      <c r="D136" s="9"/>
      <c r="E136" s="9"/>
      <c r="F136" s="10">
        <f>IF(DataReady,63*$H$68/120,0)</f>
        <v>0</v>
      </c>
      <c r="G136" s="10" t="e">
        <f>IF(I136&gt;0,AVERAGEIFS(tblFrames[FrameTime_ms],tblFrames[Time_s],"&gt;="&amp;F136,tblFrames[Time_s],"&lt;"&amp;(F136+$H$68/120)),NA())</f>
        <v>#N/A</v>
      </c>
      <c r="H136" s="10" t="e">
        <f>IF(I136&gt;0,_xlfn.MAXIFS(tblFrames[FrameTime_ms],tblFrames[Time_s],"&gt;="&amp;F136,tblFrames[Time_s],"&lt;"&amp;(F136+$H$68/120)),NA())</f>
        <v>#N/A</v>
      </c>
      <c r="I136" s="9">
        <f>IF(DataReady,COUNTIFS(tblFrames[Time_s],"&gt;="&amp;F136,tblFrames[Time_s],"&lt;"&amp;(F136+$H$68/120)),0)</f>
        <v>0</v>
      </c>
      <c r="J136" s="9"/>
      <c r="K136" s="9"/>
      <c r="L136" s="9"/>
      <c r="M136" s="9"/>
      <c r="N136" s="9"/>
      <c r="O136" s="9"/>
      <c r="P136" s="9"/>
    </row>
    <row r="137" spans="1:16">
      <c r="A137" s="9"/>
      <c r="B137" s="9"/>
      <c r="C137" s="9"/>
      <c r="D137" s="9"/>
      <c r="E137" s="9"/>
      <c r="F137" s="10">
        <f>IF(DataReady,64*$H$68/120,0)</f>
        <v>0</v>
      </c>
      <c r="G137" s="10" t="e">
        <f>IF(I137&gt;0,AVERAGEIFS(tblFrames[FrameTime_ms],tblFrames[Time_s],"&gt;="&amp;F137,tblFrames[Time_s],"&lt;"&amp;(F137+$H$68/120)),NA())</f>
        <v>#N/A</v>
      </c>
      <c r="H137" s="10" t="e">
        <f>IF(I137&gt;0,_xlfn.MAXIFS(tblFrames[FrameTime_ms],tblFrames[Time_s],"&gt;="&amp;F137,tblFrames[Time_s],"&lt;"&amp;(F137+$H$68/120)),NA())</f>
        <v>#N/A</v>
      </c>
      <c r="I137" s="9">
        <f>IF(DataReady,COUNTIFS(tblFrames[Time_s],"&gt;="&amp;F137,tblFrames[Time_s],"&lt;"&amp;(F137+$H$68/120)),0)</f>
        <v>0</v>
      </c>
      <c r="J137" s="9"/>
      <c r="K137" s="9"/>
      <c r="L137" s="9"/>
      <c r="M137" s="9"/>
      <c r="N137" s="9"/>
      <c r="O137" s="9"/>
      <c r="P137" s="9"/>
    </row>
    <row r="138" spans="1:16">
      <c r="A138" s="9"/>
      <c r="B138" s="9"/>
      <c r="C138" s="9"/>
      <c r="D138" s="9"/>
      <c r="E138" s="9"/>
      <c r="F138" s="10">
        <f>IF(DataReady,65*$H$68/120,0)</f>
        <v>0</v>
      </c>
      <c r="G138" s="10" t="e">
        <f>IF(I138&gt;0,AVERAGEIFS(tblFrames[FrameTime_ms],tblFrames[Time_s],"&gt;="&amp;F138,tblFrames[Time_s],"&lt;"&amp;(F138+$H$68/120)),NA())</f>
        <v>#N/A</v>
      </c>
      <c r="H138" s="10" t="e">
        <f>IF(I138&gt;0,_xlfn.MAXIFS(tblFrames[FrameTime_ms],tblFrames[Time_s],"&gt;="&amp;F138,tblFrames[Time_s],"&lt;"&amp;(F138+$H$68/120)),NA())</f>
        <v>#N/A</v>
      </c>
      <c r="I138" s="9">
        <f>IF(DataReady,COUNTIFS(tblFrames[Time_s],"&gt;="&amp;F138,tblFrames[Time_s],"&lt;"&amp;(F138+$H$68/120)),0)</f>
        <v>0</v>
      </c>
      <c r="J138" s="9"/>
      <c r="K138" s="9"/>
      <c r="L138" s="9"/>
      <c r="M138" s="9"/>
      <c r="N138" s="9"/>
      <c r="O138" s="9"/>
      <c r="P138" s="9"/>
    </row>
    <row r="139" spans="1:16">
      <c r="A139" s="9"/>
      <c r="B139" s="9"/>
      <c r="C139" s="9"/>
      <c r="D139" s="9"/>
      <c r="E139" s="9"/>
      <c r="F139" s="10">
        <f>IF(DataReady,66*$H$68/120,0)</f>
        <v>0</v>
      </c>
      <c r="G139" s="10" t="e">
        <f>IF(I139&gt;0,AVERAGEIFS(tblFrames[FrameTime_ms],tblFrames[Time_s],"&gt;="&amp;F139,tblFrames[Time_s],"&lt;"&amp;(F139+$H$68/120)),NA())</f>
        <v>#N/A</v>
      </c>
      <c r="H139" s="10" t="e">
        <f>IF(I139&gt;0,_xlfn.MAXIFS(tblFrames[FrameTime_ms],tblFrames[Time_s],"&gt;="&amp;F139,tblFrames[Time_s],"&lt;"&amp;(F139+$H$68/120)),NA())</f>
        <v>#N/A</v>
      </c>
      <c r="I139" s="9">
        <f>IF(DataReady,COUNTIFS(tblFrames[Time_s],"&gt;="&amp;F139,tblFrames[Time_s],"&lt;"&amp;(F139+$H$68/120)),0)</f>
        <v>0</v>
      </c>
      <c r="J139" s="9"/>
      <c r="K139" s="9"/>
      <c r="L139" s="9"/>
      <c r="M139" s="9"/>
      <c r="N139" s="9"/>
      <c r="O139" s="9"/>
      <c r="P139" s="9"/>
    </row>
    <row r="140" spans="1:16">
      <c r="A140" s="9"/>
      <c r="B140" s="9"/>
      <c r="C140" s="9"/>
      <c r="D140" s="9"/>
      <c r="E140" s="9"/>
      <c r="F140" s="10">
        <f>IF(DataReady,67*$H$68/120,0)</f>
        <v>0</v>
      </c>
      <c r="G140" s="10" t="e">
        <f>IF(I140&gt;0,AVERAGEIFS(tblFrames[FrameTime_ms],tblFrames[Time_s],"&gt;="&amp;F140,tblFrames[Time_s],"&lt;"&amp;(F140+$H$68/120)),NA())</f>
        <v>#N/A</v>
      </c>
      <c r="H140" s="10" t="e">
        <f>IF(I140&gt;0,_xlfn.MAXIFS(tblFrames[FrameTime_ms],tblFrames[Time_s],"&gt;="&amp;F140,tblFrames[Time_s],"&lt;"&amp;(F140+$H$68/120)),NA())</f>
        <v>#N/A</v>
      </c>
      <c r="I140" s="9">
        <f>IF(DataReady,COUNTIFS(tblFrames[Time_s],"&gt;="&amp;F140,tblFrames[Time_s],"&lt;"&amp;(F140+$H$68/120)),0)</f>
        <v>0</v>
      </c>
      <c r="J140" s="9"/>
      <c r="K140" s="9"/>
      <c r="L140" s="9"/>
      <c r="M140" s="9"/>
      <c r="N140" s="9"/>
      <c r="O140" s="9"/>
      <c r="P140" s="9"/>
    </row>
    <row r="141" spans="1:16">
      <c r="A141" s="9"/>
      <c r="B141" s="9"/>
      <c r="C141" s="9"/>
      <c r="D141" s="9"/>
      <c r="E141" s="9"/>
      <c r="F141" s="10">
        <f>IF(DataReady,68*$H$68/120,0)</f>
        <v>0</v>
      </c>
      <c r="G141" s="10" t="e">
        <f>IF(I141&gt;0,AVERAGEIFS(tblFrames[FrameTime_ms],tblFrames[Time_s],"&gt;="&amp;F141,tblFrames[Time_s],"&lt;"&amp;(F141+$H$68/120)),NA())</f>
        <v>#N/A</v>
      </c>
      <c r="H141" s="10" t="e">
        <f>IF(I141&gt;0,_xlfn.MAXIFS(tblFrames[FrameTime_ms],tblFrames[Time_s],"&gt;="&amp;F141,tblFrames[Time_s],"&lt;"&amp;(F141+$H$68/120)),NA())</f>
        <v>#N/A</v>
      </c>
      <c r="I141" s="9">
        <f>IF(DataReady,COUNTIFS(tblFrames[Time_s],"&gt;="&amp;F141,tblFrames[Time_s],"&lt;"&amp;(F141+$H$68/120)),0)</f>
        <v>0</v>
      </c>
      <c r="J141" s="9"/>
      <c r="K141" s="9"/>
      <c r="L141" s="9"/>
      <c r="M141" s="9"/>
      <c r="N141" s="9"/>
      <c r="O141" s="9"/>
      <c r="P141" s="9"/>
    </row>
    <row r="142" spans="1:16">
      <c r="A142" s="9"/>
      <c r="B142" s="9"/>
      <c r="C142" s="9"/>
      <c r="D142" s="9"/>
      <c r="E142" s="9"/>
      <c r="F142" s="10">
        <f>IF(DataReady,69*$H$68/120,0)</f>
        <v>0</v>
      </c>
      <c r="G142" s="10" t="e">
        <f>IF(I142&gt;0,AVERAGEIFS(tblFrames[FrameTime_ms],tblFrames[Time_s],"&gt;="&amp;F142,tblFrames[Time_s],"&lt;"&amp;(F142+$H$68/120)),NA())</f>
        <v>#N/A</v>
      </c>
      <c r="H142" s="10" t="e">
        <f>IF(I142&gt;0,_xlfn.MAXIFS(tblFrames[FrameTime_ms],tblFrames[Time_s],"&gt;="&amp;F142,tblFrames[Time_s],"&lt;"&amp;(F142+$H$68/120)),NA())</f>
        <v>#N/A</v>
      </c>
      <c r="I142" s="9">
        <f>IF(DataReady,COUNTIFS(tblFrames[Time_s],"&gt;="&amp;F142,tblFrames[Time_s],"&lt;"&amp;(F142+$H$68/120)),0)</f>
        <v>0</v>
      </c>
      <c r="J142" s="9"/>
      <c r="K142" s="9"/>
      <c r="L142" s="9"/>
      <c r="M142" s="9"/>
      <c r="N142" s="9"/>
      <c r="O142" s="9"/>
      <c r="P142" s="9"/>
    </row>
    <row r="143" spans="1:16">
      <c r="A143" s="9"/>
      <c r="B143" s="9"/>
      <c r="C143" s="9"/>
      <c r="D143" s="9"/>
      <c r="E143" s="9"/>
      <c r="F143" s="10">
        <f>IF(DataReady,70*$H$68/120,0)</f>
        <v>0</v>
      </c>
      <c r="G143" s="10" t="e">
        <f>IF(I143&gt;0,AVERAGEIFS(tblFrames[FrameTime_ms],tblFrames[Time_s],"&gt;="&amp;F143,tblFrames[Time_s],"&lt;"&amp;(F143+$H$68/120)),NA())</f>
        <v>#N/A</v>
      </c>
      <c r="H143" s="10" t="e">
        <f>IF(I143&gt;0,_xlfn.MAXIFS(tblFrames[FrameTime_ms],tblFrames[Time_s],"&gt;="&amp;F143,tblFrames[Time_s],"&lt;"&amp;(F143+$H$68/120)),NA())</f>
        <v>#N/A</v>
      </c>
      <c r="I143" s="9">
        <f>IF(DataReady,COUNTIFS(tblFrames[Time_s],"&gt;="&amp;F143,tblFrames[Time_s],"&lt;"&amp;(F143+$H$68/120)),0)</f>
        <v>0</v>
      </c>
      <c r="J143" s="9"/>
      <c r="K143" s="9"/>
      <c r="L143" s="9"/>
      <c r="M143" s="9"/>
      <c r="N143" s="9"/>
      <c r="O143" s="9"/>
      <c r="P143" s="9"/>
    </row>
    <row r="144" spans="1:16">
      <c r="A144" s="9"/>
      <c r="B144" s="9"/>
      <c r="C144" s="9"/>
      <c r="D144" s="9"/>
      <c r="E144" s="9"/>
      <c r="F144" s="10">
        <f>IF(DataReady,71*$H$68/120,0)</f>
        <v>0</v>
      </c>
      <c r="G144" s="10" t="e">
        <f>IF(I144&gt;0,AVERAGEIFS(tblFrames[FrameTime_ms],tblFrames[Time_s],"&gt;="&amp;F144,tblFrames[Time_s],"&lt;"&amp;(F144+$H$68/120)),NA())</f>
        <v>#N/A</v>
      </c>
      <c r="H144" s="10" t="e">
        <f>IF(I144&gt;0,_xlfn.MAXIFS(tblFrames[FrameTime_ms],tblFrames[Time_s],"&gt;="&amp;F144,tblFrames[Time_s],"&lt;"&amp;(F144+$H$68/120)),NA())</f>
        <v>#N/A</v>
      </c>
      <c r="I144" s="9">
        <f>IF(DataReady,COUNTIFS(tblFrames[Time_s],"&gt;="&amp;F144,tblFrames[Time_s],"&lt;"&amp;(F144+$H$68/120)),0)</f>
        <v>0</v>
      </c>
      <c r="J144" s="9"/>
      <c r="K144" s="9"/>
      <c r="L144" s="9"/>
      <c r="M144" s="9"/>
      <c r="N144" s="9"/>
      <c r="O144" s="9"/>
      <c r="P144" s="9"/>
    </row>
    <row r="145" spans="1:16">
      <c r="A145" s="9"/>
      <c r="B145" s="9"/>
      <c r="C145" s="9"/>
      <c r="D145" s="9"/>
      <c r="E145" s="9"/>
      <c r="F145" s="10">
        <f>IF(DataReady,72*$H$68/120,0)</f>
        <v>0</v>
      </c>
      <c r="G145" s="10" t="e">
        <f>IF(I145&gt;0,AVERAGEIFS(tblFrames[FrameTime_ms],tblFrames[Time_s],"&gt;="&amp;F145,tblFrames[Time_s],"&lt;"&amp;(F145+$H$68/120)),NA())</f>
        <v>#N/A</v>
      </c>
      <c r="H145" s="10" t="e">
        <f>IF(I145&gt;0,_xlfn.MAXIFS(tblFrames[FrameTime_ms],tblFrames[Time_s],"&gt;="&amp;F145,tblFrames[Time_s],"&lt;"&amp;(F145+$H$68/120)),NA())</f>
        <v>#N/A</v>
      </c>
      <c r="I145" s="9">
        <f>IF(DataReady,COUNTIFS(tblFrames[Time_s],"&gt;="&amp;F145,tblFrames[Time_s],"&lt;"&amp;(F145+$H$68/120)),0)</f>
        <v>0</v>
      </c>
      <c r="J145" s="9"/>
      <c r="K145" s="9"/>
      <c r="L145" s="9"/>
      <c r="M145" s="9"/>
      <c r="N145" s="9"/>
      <c r="O145" s="9"/>
      <c r="P145" s="9"/>
    </row>
    <row r="146" spans="1:16">
      <c r="A146" s="9"/>
      <c r="B146" s="9"/>
      <c r="C146" s="9"/>
      <c r="D146" s="9"/>
      <c r="E146" s="9"/>
      <c r="F146" s="10">
        <f>IF(DataReady,73*$H$68/120,0)</f>
        <v>0</v>
      </c>
      <c r="G146" s="10" t="e">
        <f>IF(I146&gt;0,AVERAGEIFS(tblFrames[FrameTime_ms],tblFrames[Time_s],"&gt;="&amp;F146,tblFrames[Time_s],"&lt;"&amp;(F146+$H$68/120)),NA())</f>
        <v>#N/A</v>
      </c>
      <c r="H146" s="10" t="e">
        <f>IF(I146&gt;0,_xlfn.MAXIFS(tblFrames[FrameTime_ms],tblFrames[Time_s],"&gt;="&amp;F146,tblFrames[Time_s],"&lt;"&amp;(F146+$H$68/120)),NA())</f>
        <v>#N/A</v>
      </c>
      <c r="I146" s="9">
        <f>IF(DataReady,COUNTIFS(tblFrames[Time_s],"&gt;="&amp;F146,tblFrames[Time_s],"&lt;"&amp;(F146+$H$68/120)),0)</f>
        <v>0</v>
      </c>
      <c r="J146" s="9"/>
      <c r="K146" s="9"/>
      <c r="L146" s="9"/>
      <c r="M146" s="9"/>
      <c r="N146" s="9"/>
      <c r="O146" s="9"/>
      <c r="P146" s="9"/>
    </row>
    <row r="147" spans="1:16">
      <c r="A147" s="9"/>
      <c r="B147" s="9"/>
      <c r="C147" s="9"/>
      <c r="D147" s="9"/>
      <c r="E147" s="9"/>
      <c r="F147" s="10">
        <f>IF(DataReady,74*$H$68/120,0)</f>
        <v>0</v>
      </c>
      <c r="G147" s="10" t="e">
        <f>IF(I147&gt;0,AVERAGEIFS(tblFrames[FrameTime_ms],tblFrames[Time_s],"&gt;="&amp;F147,tblFrames[Time_s],"&lt;"&amp;(F147+$H$68/120)),NA())</f>
        <v>#N/A</v>
      </c>
      <c r="H147" s="10" t="e">
        <f>IF(I147&gt;0,_xlfn.MAXIFS(tblFrames[FrameTime_ms],tblFrames[Time_s],"&gt;="&amp;F147,tblFrames[Time_s],"&lt;"&amp;(F147+$H$68/120)),NA())</f>
        <v>#N/A</v>
      </c>
      <c r="I147" s="9">
        <f>IF(DataReady,COUNTIFS(tblFrames[Time_s],"&gt;="&amp;F147,tblFrames[Time_s],"&lt;"&amp;(F147+$H$68/120)),0)</f>
        <v>0</v>
      </c>
      <c r="J147" s="9"/>
      <c r="K147" s="9"/>
      <c r="L147" s="9"/>
      <c r="M147" s="9"/>
      <c r="N147" s="9"/>
      <c r="O147" s="9"/>
      <c r="P147" s="9"/>
    </row>
    <row r="148" spans="1:16">
      <c r="A148" s="9"/>
      <c r="B148" s="9"/>
      <c r="C148" s="9"/>
      <c r="D148" s="9"/>
      <c r="E148" s="9"/>
      <c r="F148" s="10">
        <f>IF(DataReady,75*$H$68/120,0)</f>
        <v>0</v>
      </c>
      <c r="G148" s="10" t="e">
        <f>IF(I148&gt;0,AVERAGEIFS(tblFrames[FrameTime_ms],tblFrames[Time_s],"&gt;="&amp;F148,tblFrames[Time_s],"&lt;"&amp;(F148+$H$68/120)),NA())</f>
        <v>#N/A</v>
      </c>
      <c r="H148" s="10" t="e">
        <f>IF(I148&gt;0,_xlfn.MAXIFS(tblFrames[FrameTime_ms],tblFrames[Time_s],"&gt;="&amp;F148,tblFrames[Time_s],"&lt;"&amp;(F148+$H$68/120)),NA())</f>
        <v>#N/A</v>
      </c>
      <c r="I148" s="9">
        <f>IF(DataReady,COUNTIFS(tblFrames[Time_s],"&gt;="&amp;F148,tblFrames[Time_s],"&lt;"&amp;(F148+$H$68/120)),0)</f>
        <v>0</v>
      </c>
      <c r="J148" s="9"/>
      <c r="K148" s="9"/>
      <c r="L148" s="9"/>
      <c r="M148" s="9"/>
      <c r="N148" s="9"/>
      <c r="O148" s="9"/>
      <c r="P148" s="9"/>
    </row>
    <row r="149" spans="1:16">
      <c r="A149" s="9"/>
      <c r="B149" s="9"/>
      <c r="C149" s="9"/>
      <c r="D149" s="9"/>
      <c r="E149" s="9"/>
      <c r="F149" s="10">
        <f>IF(DataReady,76*$H$68/120,0)</f>
        <v>0</v>
      </c>
      <c r="G149" s="10" t="e">
        <f>IF(I149&gt;0,AVERAGEIFS(tblFrames[FrameTime_ms],tblFrames[Time_s],"&gt;="&amp;F149,tblFrames[Time_s],"&lt;"&amp;(F149+$H$68/120)),NA())</f>
        <v>#N/A</v>
      </c>
      <c r="H149" s="10" t="e">
        <f>IF(I149&gt;0,_xlfn.MAXIFS(tblFrames[FrameTime_ms],tblFrames[Time_s],"&gt;="&amp;F149,tblFrames[Time_s],"&lt;"&amp;(F149+$H$68/120)),NA())</f>
        <v>#N/A</v>
      </c>
      <c r="I149" s="9">
        <f>IF(DataReady,COUNTIFS(tblFrames[Time_s],"&gt;="&amp;F149,tblFrames[Time_s],"&lt;"&amp;(F149+$H$68/120)),0)</f>
        <v>0</v>
      </c>
      <c r="J149" s="9"/>
      <c r="K149" s="9"/>
      <c r="L149" s="9"/>
      <c r="M149" s="9"/>
      <c r="N149" s="9"/>
      <c r="O149" s="9"/>
      <c r="P149" s="9"/>
    </row>
    <row r="150" spans="1:16">
      <c r="A150" s="9"/>
      <c r="B150" s="9"/>
      <c r="C150" s="9"/>
      <c r="D150" s="9"/>
      <c r="E150" s="9"/>
      <c r="F150" s="10">
        <f>IF(DataReady,77*$H$68/120,0)</f>
        <v>0</v>
      </c>
      <c r="G150" s="10" t="e">
        <f>IF(I150&gt;0,AVERAGEIFS(tblFrames[FrameTime_ms],tblFrames[Time_s],"&gt;="&amp;F150,tblFrames[Time_s],"&lt;"&amp;(F150+$H$68/120)),NA())</f>
        <v>#N/A</v>
      </c>
      <c r="H150" s="10" t="e">
        <f>IF(I150&gt;0,_xlfn.MAXIFS(tblFrames[FrameTime_ms],tblFrames[Time_s],"&gt;="&amp;F150,tblFrames[Time_s],"&lt;"&amp;(F150+$H$68/120)),NA())</f>
        <v>#N/A</v>
      </c>
      <c r="I150" s="9">
        <f>IF(DataReady,COUNTIFS(tblFrames[Time_s],"&gt;="&amp;F150,tblFrames[Time_s],"&lt;"&amp;(F150+$H$68/120)),0)</f>
        <v>0</v>
      </c>
      <c r="J150" s="9"/>
      <c r="K150" s="9"/>
      <c r="L150" s="9"/>
      <c r="M150" s="9"/>
      <c r="N150" s="9"/>
      <c r="O150" s="9"/>
      <c r="P150" s="9"/>
    </row>
    <row r="151" spans="1:16">
      <c r="A151" s="9"/>
      <c r="B151" s="9"/>
      <c r="C151" s="9"/>
      <c r="D151" s="9"/>
      <c r="E151" s="9"/>
      <c r="F151" s="10">
        <f>IF(DataReady,78*$H$68/120,0)</f>
        <v>0</v>
      </c>
      <c r="G151" s="10" t="e">
        <f>IF(I151&gt;0,AVERAGEIFS(tblFrames[FrameTime_ms],tblFrames[Time_s],"&gt;="&amp;F151,tblFrames[Time_s],"&lt;"&amp;(F151+$H$68/120)),NA())</f>
        <v>#N/A</v>
      </c>
      <c r="H151" s="10" t="e">
        <f>IF(I151&gt;0,_xlfn.MAXIFS(tblFrames[FrameTime_ms],tblFrames[Time_s],"&gt;="&amp;F151,tblFrames[Time_s],"&lt;"&amp;(F151+$H$68/120)),NA())</f>
        <v>#N/A</v>
      </c>
      <c r="I151" s="9">
        <f>IF(DataReady,COUNTIFS(tblFrames[Time_s],"&gt;="&amp;F151,tblFrames[Time_s],"&lt;"&amp;(F151+$H$68/120)),0)</f>
        <v>0</v>
      </c>
      <c r="J151" s="9"/>
      <c r="K151" s="9"/>
      <c r="L151" s="9"/>
      <c r="M151" s="9"/>
      <c r="N151" s="9"/>
      <c r="O151" s="9"/>
      <c r="P151" s="9"/>
    </row>
    <row r="152" spans="1:16">
      <c r="A152" s="9"/>
      <c r="B152" s="9"/>
      <c r="C152" s="9"/>
      <c r="D152" s="9"/>
      <c r="E152" s="9"/>
      <c r="F152" s="10">
        <f>IF(DataReady,79*$H$68/120,0)</f>
        <v>0</v>
      </c>
      <c r="G152" s="10" t="e">
        <f>IF(I152&gt;0,AVERAGEIFS(tblFrames[FrameTime_ms],tblFrames[Time_s],"&gt;="&amp;F152,tblFrames[Time_s],"&lt;"&amp;(F152+$H$68/120)),NA())</f>
        <v>#N/A</v>
      </c>
      <c r="H152" s="10" t="e">
        <f>IF(I152&gt;0,_xlfn.MAXIFS(tblFrames[FrameTime_ms],tblFrames[Time_s],"&gt;="&amp;F152,tblFrames[Time_s],"&lt;"&amp;(F152+$H$68/120)),NA())</f>
        <v>#N/A</v>
      </c>
      <c r="I152" s="9">
        <f>IF(DataReady,COUNTIFS(tblFrames[Time_s],"&gt;="&amp;F152,tblFrames[Time_s],"&lt;"&amp;(F152+$H$68/120)),0)</f>
        <v>0</v>
      </c>
      <c r="J152" s="9"/>
      <c r="K152" s="9"/>
      <c r="L152" s="9"/>
      <c r="M152" s="9"/>
      <c r="N152" s="9"/>
      <c r="O152" s="9"/>
      <c r="P152" s="9"/>
    </row>
    <row r="153" spans="1:16">
      <c r="A153" s="9"/>
      <c r="B153" s="9"/>
      <c r="C153" s="9"/>
      <c r="D153" s="9"/>
      <c r="E153" s="9"/>
      <c r="F153" s="10">
        <f>IF(DataReady,80*$H$68/120,0)</f>
        <v>0</v>
      </c>
      <c r="G153" s="10" t="e">
        <f>IF(I153&gt;0,AVERAGEIFS(tblFrames[FrameTime_ms],tblFrames[Time_s],"&gt;="&amp;F153,tblFrames[Time_s],"&lt;"&amp;(F153+$H$68/120)),NA())</f>
        <v>#N/A</v>
      </c>
      <c r="H153" s="10" t="e">
        <f>IF(I153&gt;0,_xlfn.MAXIFS(tblFrames[FrameTime_ms],tblFrames[Time_s],"&gt;="&amp;F153,tblFrames[Time_s],"&lt;"&amp;(F153+$H$68/120)),NA())</f>
        <v>#N/A</v>
      </c>
      <c r="I153" s="9">
        <f>IF(DataReady,COUNTIFS(tblFrames[Time_s],"&gt;="&amp;F153,tblFrames[Time_s],"&lt;"&amp;(F153+$H$68/120)),0)</f>
        <v>0</v>
      </c>
      <c r="J153" s="9"/>
      <c r="K153" s="9"/>
      <c r="L153" s="9"/>
      <c r="M153" s="9"/>
      <c r="N153" s="9"/>
      <c r="O153" s="9"/>
      <c r="P153" s="9"/>
    </row>
    <row r="154" spans="1:16">
      <c r="A154" s="9"/>
      <c r="B154" s="9"/>
      <c r="C154" s="9"/>
      <c r="D154" s="9"/>
      <c r="E154" s="9"/>
      <c r="F154" s="10">
        <f>IF(DataReady,81*$H$68/120,0)</f>
        <v>0</v>
      </c>
      <c r="G154" s="10" t="e">
        <f>IF(I154&gt;0,AVERAGEIFS(tblFrames[FrameTime_ms],tblFrames[Time_s],"&gt;="&amp;F154,tblFrames[Time_s],"&lt;"&amp;(F154+$H$68/120)),NA())</f>
        <v>#N/A</v>
      </c>
      <c r="H154" s="10" t="e">
        <f>IF(I154&gt;0,_xlfn.MAXIFS(tblFrames[FrameTime_ms],tblFrames[Time_s],"&gt;="&amp;F154,tblFrames[Time_s],"&lt;"&amp;(F154+$H$68/120)),NA())</f>
        <v>#N/A</v>
      </c>
      <c r="I154" s="9">
        <f>IF(DataReady,COUNTIFS(tblFrames[Time_s],"&gt;="&amp;F154,tblFrames[Time_s],"&lt;"&amp;(F154+$H$68/120)),0)</f>
        <v>0</v>
      </c>
      <c r="J154" s="9"/>
      <c r="K154" s="9"/>
      <c r="L154" s="9"/>
      <c r="M154" s="9"/>
      <c r="N154" s="9"/>
      <c r="O154" s="9"/>
      <c r="P154" s="9"/>
    </row>
    <row r="155" spans="1:16">
      <c r="A155" s="9"/>
      <c r="B155" s="9"/>
      <c r="C155" s="9"/>
      <c r="D155" s="9"/>
      <c r="E155" s="9"/>
      <c r="F155" s="10">
        <f>IF(DataReady,82*$H$68/120,0)</f>
        <v>0</v>
      </c>
      <c r="G155" s="10" t="e">
        <f>IF(I155&gt;0,AVERAGEIFS(tblFrames[FrameTime_ms],tblFrames[Time_s],"&gt;="&amp;F155,tblFrames[Time_s],"&lt;"&amp;(F155+$H$68/120)),NA())</f>
        <v>#N/A</v>
      </c>
      <c r="H155" s="10" t="e">
        <f>IF(I155&gt;0,_xlfn.MAXIFS(tblFrames[FrameTime_ms],tblFrames[Time_s],"&gt;="&amp;F155,tblFrames[Time_s],"&lt;"&amp;(F155+$H$68/120)),NA())</f>
        <v>#N/A</v>
      </c>
      <c r="I155" s="9">
        <f>IF(DataReady,COUNTIFS(tblFrames[Time_s],"&gt;="&amp;F155,tblFrames[Time_s],"&lt;"&amp;(F155+$H$68/120)),0)</f>
        <v>0</v>
      </c>
      <c r="J155" s="9"/>
      <c r="K155" s="9"/>
      <c r="L155" s="9"/>
      <c r="M155" s="9"/>
      <c r="N155" s="9"/>
      <c r="O155" s="9"/>
      <c r="P155" s="9"/>
    </row>
    <row r="156" spans="1:16">
      <c r="A156" s="9"/>
      <c r="B156" s="9"/>
      <c r="C156" s="9"/>
      <c r="D156" s="9"/>
      <c r="E156" s="9"/>
      <c r="F156" s="10">
        <f>IF(DataReady,83*$H$68/120,0)</f>
        <v>0</v>
      </c>
      <c r="G156" s="10" t="e">
        <f>IF(I156&gt;0,AVERAGEIFS(tblFrames[FrameTime_ms],tblFrames[Time_s],"&gt;="&amp;F156,tblFrames[Time_s],"&lt;"&amp;(F156+$H$68/120)),NA())</f>
        <v>#N/A</v>
      </c>
      <c r="H156" s="10" t="e">
        <f>IF(I156&gt;0,_xlfn.MAXIFS(tblFrames[FrameTime_ms],tblFrames[Time_s],"&gt;="&amp;F156,tblFrames[Time_s],"&lt;"&amp;(F156+$H$68/120)),NA())</f>
        <v>#N/A</v>
      </c>
      <c r="I156" s="9">
        <f>IF(DataReady,COUNTIFS(tblFrames[Time_s],"&gt;="&amp;F156,tblFrames[Time_s],"&lt;"&amp;(F156+$H$68/120)),0)</f>
        <v>0</v>
      </c>
      <c r="J156" s="9"/>
      <c r="K156" s="9"/>
      <c r="L156" s="9"/>
      <c r="M156" s="9"/>
      <c r="N156" s="9"/>
      <c r="O156" s="9"/>
      <c r="P156" s="9"/>
    </row>
    <row r="157" spans="1:16">
      <c r="A157" s="9"/>
      <c r="B157" s="9"/>
      <c r="C157" s="9"/>
      <c r="D157" s="9"/>
      <c r="E157" s="9"/>
      <c r="F157" s="10">
        <f>IF(DataReady,84*$H$68/120,0)</f>
        <v>0</v>
      </c>
      <c r="G157" s="10" t="e">
        <f>IF(I157&gt;0,AVERAGEIFS(tblFrames[FrameTime_ms],tblFrames[Time_s],"&gt;="&amp;F157,tblFrames[Time_s],"&lt;"&amp;(F157+$H$68/120)),NA())</f>
        <v>#N/A</v>
      </c>
      <c r="H157" s="10" t="e">
        <f>IF(I157&gt;0,_xlfn.MAXIFS(tblFrames[FrameTime_ms],tblFrames[Time_s],"&gt;="&amp;F157,tblFrames[Time_s],"&lt;"&amp;(F157+$H$68/120)),NA())</f>
        <v>#N/A</v>
      </c>
      <c r="I157" s="9">
        <f>IF(DataReady,COUNTIFS(tblFrames[Time_s],"&gt;="&amp;F157,tblFrames[Time_s],"&lt;"&amp;(F157+$H$68/120)),0)</f>
        <v>0</v>
      </c>
      <c r="J157" s="9"/>
      <c r="K157" s="9"/>
      <c r="L157" s="9"/>
      <c r="M157" s="9"/>
      <c r="N157" s="9"/>
      <c r="O157" s="9"/>
      <c r="P157" s="9"/>
    </row>
    <row r="158" spans="1:16">
      <c r="A158" s="9"/>
      <c r="B158" s="9"/>
      <c r="C158" s="9"/>
      <c r="D158" s="9"/>
      <c r="E158" s="9"/>
      <c r="F158" s="10">
        <f>IF(DataReady,85*$H$68/120,0)</f>
        <v>0</v>
      </c>
      <c r="G158" s="10" t="e">
        <f>IF(I158&gt;0,AVERAGEIFS(tblFrames[FrameTime_ms],tblFrames[Time_s],"&gt;="&amp;F158,tblFrames[Time_s],"&lt;"&amp;(F158+$H$68/120)),NA())</f>
        <v>#N/A</v>
      </c>
      <c r="H158" s="10" t="e">
        <f>IF(I158&gt;0,_xlfn.MAXIFS(tblFrames[FrameTime_ms],tblFrames[Time_s],"&gt;="&amp;F158,tblFrames[Time_s],"&lt;"&amp;(F158+$H$68/120)),NA())</f>
        <v>#N/A</v>
      </c>
      <c r="I158" s="9">
        <f>IF(DataReady,COUNTIFS(tblFrames[Time_s],"&gt;="&amp;F158,tblFrames[Time_s],"&lt;"&amp;(F158+$H$68/120)),0)</f>
        <v>0</v>
      </c>
      <c r="J158" s="9"/>
      <c r="K158" s="9"/>
      <c r="L158" s="9"/>
      <c r="M158" s="9"/>
      <c r="N158" s="9"/>
      <c r="O158" s="9"/>
      <c r="P158" s="9"/>
    </row>
    <row r="159" spans="1:16">
      <c r="A159" s="9"/>
      <c r="B159" s="9"/>
      <c r="C159" s="9"/>
      <c r="D159" s="9"/>
      <c r="E159" s="9"/>
      <c r="F159" s="10">
        <f>IF(DataReady,86*$H$68/120,0)</f>
        <v>0</v>
      </c>
      <c r="G159" s="10" t="e">
        <f>IF(I159&gt;0,AVERAGEIFS(tblFrames[FrameTime_ms],tblFrames[Time_s],"&gt;="&amp;F159,tblFrames[Time_s],"&lt;"&amp;(F159+$H$68/120)),NA())</f>
        <v>#N/A</v>
      </c>
      <c r="H159" s="10" t="e">
        <f>IF(I159&gt;0,_xlfn.MAXIFS(tblFrames[FrameTime_ms],tblFrames[Time_s],"&gt;="&amp;F159,tblFrames[Time_s],"&lt;"&amp;(F159+$H$68/120)),NA())</f>
        <v>#N/A</v>
      </c>
      <c r="I159" s="9">
        <f>IF(DataReady,COUNTIFS(tblFrames[Time_s],"&gt;="&amp;F159,tblFrames[Time_s],"&lt;"&amp;(F159+$H$68/120)),0)</f>
        <v>0</v>
      </c>
      <c r="J159" s="9"/>
      <c r="K159" s="9"/>
      <c r="L159" s="9"/>
      <c r="M159" s="9"/>
      <c r="N159" s="9"/>
      <c r="O159" s="9"/>
      <c r="P159" s="9"/>
    </row>
    <row r="160" spans="1:16">
      <c r="A160" s="9"/>
      <c r="B160" s="9"/>
      <c r="C160" s="9"/>
      <c r="D160" s="9"/>
      <c r="E160" s="9"/>
      <c r="F160" s="10">
        <f>IF(DataReady,87*$H$68/120,0)</f>
        <v>0</v>
      </c>
      <c r="G160" s="10" t="e">
        <f>IF(I160&gt;0,AVERAGEIFS(tblFrames[FrameTime_ms],tblFrames[Time_s],"&gt;="&amp;F160,tblFrames[Time_s],"&lt;"&amp;(F160+$H$68/120)),NA())</f>
        <v>#N/A</v>
      </c>
      <c r="H160" s="10" t="e">
        <f>IF(I160&gt;0,_xlfn.MAXIFS(tblFrames[FrameTime_ms],tblFrames[Time_s],"&gt;="&amp;F160,tblFrames[Time_s],"&lt;"&amp;(F160+$H$68/120)),NA())</f>
        <v>#N/A</v>
      </c>
      <c r="I160" s="9">
        <f>IF(DataReady,COUNTIFS(tblFrames[Time_s],"&gt;="&amp;F160,tblFrames[Time_s],"&lt;"&amp;(F160+$H$68/120)),0)</f>
        <v>0</v>
      </c>
      <c r="J160" s="9"/>
      <c r="K160" s="9"/>
      <c r="L160" s="9"/>
      <c r="M160" s="9"/>
      <c r="N160" s="9"/>
      <c r="O160" s="9"/>
      <c r="P160" s="9"/>
    </row>
    <row r="161" spans="1:16">
      <c r="A161" s="9"/>
      <c r="B161" s="9"/>
      <c r="C161" s="9"/>
      <c r="D161" s="9"/>
      <c r="E161" s="9"/>
      <c r="F161" s="10">
        <f>IF(DataReady,88*$H$68/120,0)</f>
        <v>0</v>
      </c>
      <c r="G161" s="10" t="e">
        <f>IF(I161&gt;0,AVERAGEIFS(tblFrames[FrameTime_ms],tblFrames[Time_s],"&gt;="&amp;F161,tblFrames[Time_s],"&lt;"&amp;(F161+$H$68/120)),NA())</f>
        <v>#N/A</v>
      </c>
      <c r="H161" s="10" t="e">
        <f>IF(I161&gt;0,_xlfn.MAXIFS(tblFrames[FrameTime_ms],tblFrames[Time_s],"&gt;="&amp;F161,tblFrames[Time_s],"&lt;"&amp;(F161+$H$68/120)),NA())</f>
        <v>#N/A</v>
      </c>
      <c r="I161" s="9">
        <f>IF(DataReady,COUNTIFS(tblFrames[Time_s],"&gt;="&amp;F161,tblFrames[Time_s],"&lt;"&amp;(F161+$H$68/120)),0)</f>
        <v>0</v>
      </c>
      <c r="J161" s="9"/>
      <c r="K161" s="9"/>
      <c r="L161" s="9"/>
      <c r="M161" s="9"/>
      <c r="N161" s="9"/>
      <c r="O161" s="9"/>
      <c r="P161" s="9"/>
    </row>
    <row r="162" spans="1:16">
      <c r="A162" s="9"/>
      <c r="B162" s="9"/>
      <c r="C162" s="9"/>
      <c r="D162" s="9"/>
      <c r="E162" s="9"/>
      <c r="F162" s="10">
        <f>IF(DataReady,89*$H$68/120,0)</f>
        <v>0</v>
      </c>
      <c r="G162" s="10" t="e">
        <f>IF(I162&gt;0,AVERAGEIFS(tblFrames[FrameTime_ms],tblFrames[Time_s],"&gt;="&amp;F162,tblFrames[Time_s],"&lt;"&amp;(F162+$H$68/120)),NA())</f>
        <v>#N/A</v>
      </c>
      <c r="H162" s="10" t="e">
        <f>IF(I162&gt;0,_xlfn.MAXIFS(tblFrames[FrameTime_ms],tblFrames[Time_s],"&gt;="&amp;F162,tblFrames[Time_s],"&lt;"&amp;(F162+$H$68/120)),NA())</f>
        <v>#N/A</v>
      </c>
      <c r="I162" s="9">
        <f>IF(DataReady,COUNTIFS(tblFrames[Time_s],"&gt;="&amp;F162,tblFrames[Time_s],"&lt;"&amp;(F162+$H$68/120)),0)</f>
        <v>0</v>
      </c>
      <c r="J162" s="9"/>
      <c r="K162" s="9"/>
      <c r="L162" s="9"/>
      <c r="M162" s="9"/>
      <c r="N162" s="9"/>
      <c r="O162" s="9"/>
      <c r="P162" s="9"/>
    </row>
    <row r="163" spans="1:16">
      <c r="A163" s="9"/>
      <c r="B163" s="9"/>
      <c r="C163" s="9"/>
      <c r="D163" s="9"/>
      <c r="E163" s="9"/>
      <c r="F163" s="10">
        <f>IF(DataReady,90*$H$68/120,0)</f>
        <v>0</v>
      </c>
      <c r="G163" s="10" t="e">
        <f>IF(I163&gt;0,AVERAGEIFS(tblFrames[FrameTime_ms],tblFrames[Time_s],"&gt;="&amp;F163,tblFrames[Time_s],"&lt;"&amp;(F163+$H$68/120)),NA())</f>
        <v>#N/A</v>
      </c>
      <c r="H163" s="10" t="e">
        <f>IF(I163&gt;0,_xlfn.MAXIFS(tblFrames[FrameTime_ms],tblFrames[Time_s],"&gt;="&amp;F163,tblFrames[Time_s],"&lt;"&amp;(F163+$H$68/120)),NA())</f>
        <v>#N/A</v>
      </c>
      <c r="I163" s="9">
        <f>IF(DataReady,COUNTIFS(tblFrames[Time_s],"&gt;="&amp;F163,tblFrames[Time_s],"&lt;"&amp;(F163+$H$68/120)),0)</f>
        <v>0</v>
      </c>
      <c r="J163" s="9"/>
      <c r="K163" s="9"/>
      <c r="L163" s="9"/>
      <c r="M163" s="9"/>
      <c r="N163" s="9"/>
      <c r="O163" s="9"/>
      <c r="P163" s="9"/>
    </row>
    <row r="164" spans="1:16">
      <c r="A164" s="9"/>
      <c r="B164" s="9"/>
      <c r="C164" s="9"/>
      <c r="D164" s="9"/>
      <c r="E164" s="9"/>
      <c r="F164" s="10">
        <f>IF(DataReady,91*$H$68/120,0)</f>
        <v>0</v>
      </c>
      <c r="G164" s="10" t="e">
        <f>IF(I164&gt;0,AVERAGEIFS(tblFrames[FrameTime_ms],tblFrames[Time_s],"&gt;="&amp;F164,tblFrames[Time_s],"&lt;"&amp;(F164+$H$68/120)),NA())</f>
        <v>#N/A</v>
      </c>
      <c r="H164" s="10" t="e">
        <f>IF(I164&gt;0,_xlfn.MAXIFS(tblFrames[FrameTime_ms],tblFrames[Time_s],"&gt;="&amp;F164,tblFrames[Time_s],"&lt;"&amp;(F164+$H$68/120)),NA())</f>
        <v>#N/A</v>
      </c>
      <c r="I164" s="9">
        <f>IF(DataReady,COUNTIFS(tblFrames[Time_s],"&gt;="&amp;F164,tblFrames[Time_s],"&lt;"&amp;(F164+$H$68/120)),0)</f>
        <v>0</v>
      </c>
      <c r="J164" s="9"/>
      <c r="K164" s="9"/>
      <c r="L164" s="9"/>
      <c r="M164" s="9"/>
      <c r="N164" s="9"/>
      <c r="O164" s="9"/>
      <c r="P164" s="9"/>
    </row>
    <row r="165" spans="1:16">
      <c r="A165" s="9"/>
      <c r="B165" s="9"/>
      <c r="C165" s="9"/>
      <c r="D165" s="9"/>
      <c r="E165" s="9"/>
      <c r="F165" s="10">
        <f>IF(DataReady,92*$H$68/120,0)</f>
        <v>0</v>
      </c>
      <c r="G165" s="10" t="e">
        <f>IF(I165&gt;0,AVERAGEIFS(tblFrames[FrameTime_ms],tblFrames[Time_s],"&gt;="&amp;F165,tblFrames[Time_s],"&lt;"&amp;(F165+$H$68/120)),NA())</f>
        <v>#N/A</v>
      </c>
      <c r="H165" s="10" t="e">
        <f>IF(I165&gt;0,_xlfn.MAXIFS(tblFrames[FrameTime_ms],tblFrames[Time_s],"&gt;="&amp;F165,tblFrames[Time_s],"&lt;"&amp;(F165+$H$68/120)),NA())</f>
        <v>#N/A</v>
      </c>
      <c r="I165" s="9">
        <f>IF(DataReady,COUNTIFS(tblFrames[Time_s],"&gt;="&amp;F165,tblFrames[Time_s],"&lt;"&amp;(F165+$H$68/120)),0)</f>
        <v>0</v>
      </c>
      <c r="J165" s="9"/>
      <c r="K165" s="9"/>
      <c r="L165" s="9"/>
      <c r="M165" s="9"/>
      <c r="N165" s="9"/>
      <c r="O165" s="9"/>
      <c r="P165" s="9"/>
    </row>
    <row r="166" spans="1:16">
      <c r="A166" s="9"/>
      <c r="B166" s="9"/>
      <c r="C166" s="9"/>
      <c r="D166" s="9"/>
      <c r="E166" s="9"/>
      <c r="F166" s="10">
        <f>IF(DataReady,93*$H$68/120,0)</f>
        <v>0</v>
      </c>
      <c r="G166" s="10" t="e">
        <f>IF(I166&gt;0,AVERAGEIFS(tblFrames[FrameTime_ms],tblFrames[Time_s],"&gt;="&amp;F166,tblFrames[Time_s],"&lt;"&amp;(F166+$H$68/120)),NA())</f>
        <v>#N/A</v>
      </c>
      <c r="H166" s="10" t="e">
        <f>IF(I166&gt;0,_xlfn.MAXIFS(tblFrames[FrameTime_ms],tblFrames[Time_s],"&gt;="&amp;F166,tblFrames[Time_s],"&lt;"&amp;(F166+$H$68/120)),NA())</f>
        <v>#N/A</v>
      </c>
      <c r="I166" s="9">
        <f>IF(DataReady,COUNTIFS(tblFrames[Time_s],"&gt;="&amp;F166,tblFrames[Time_s],"&lt;"&amp;(F166+$H$68/120)),0)</f>
        <v>0</v>
      </c>
      <c r="J166" s="9"/>
      <c r="K166" s="9"/>
      <c r="L166" s="9"/>
      <c r="M166" s="9"/>
      <c r="N166" s="9"/>
      <c r="O166" s="9"/>
      <c r="P166" s="9"/>
    </row>
    <row r="167" spans="1:16">
      <c r="A167" s="9"/>
      <c r="B167" s="9"/>
      <c r="C167" s="9"/>
      <c r="D167" s="9"/>
      <c r="E167" s="9"/>
      <c r="F167" s="10">
        <f>IF(DataReady,94*$H$68/120,0)</f>
        <v>0</v>
      </c>
      <c r="G167" s="10" t="e">
        <f>IF(I167&gt;0,AVERAGEIFS(tblFrames[FrameTime_ms],tblFrames[Time_s],"&gt;="&amp;F167,tblFrames[Time_s],"&lt;"&amp;(F167+$H$68/120)),NA())</f>
        <v>#N/A</v>
      </c>
      <c r="H167" s="10" t="e">
        <f>IF(I167&gt;0,_xlfn.MAXIFS(tblFrames[FrameTime_ms],tblFrames[Time_s],"&gt;="&amp;F167,tblFrames[Time_s],"&lt;"&amp;(F167+$H$68/120)),NA())</f>
        <v>#N/A</v>
      </c>
      <c r="I167" s="9">
        <f>IF(DataReady,COUNTIFS(tblFrames[Time_s],"&gt;="&amp;F167,tblFrames[Time_s],"&lt;"&amp;(F167+$H$68/120)),0)</f>
        <v>0</v>
      </c>
      <c r="J167" s="9"/>
      <c r="K167" s="9"/>
      <c r="L167" s="9"/>
      <c r="M167" s="9"/>
      <c r="N167" s="9"/>
      <c r="O167" s="9"/>
      <c r="P167" s="9"/>
    </row>
    <row r="168" spans="1:16">
      <c r="A168" s="9"/>
      <c r="B168" s="9"/>
      <c r="C168" s="9"/>
      <c r="D168" s="9"/>
      <c r="E168" s="9"/>
      <c r="F168" s="10">
        <f>IF(DataReady,95*$H$68/120,0)</f>
        <v>0</v>
      </c>
      <c r="G168" s="10" t="e">
        <f>IF(I168&gt;0,AVERAGEIFS(tblFrames[FrameTime_ms],tblFrames[Time_s],"&gt;="&amp;F168,tblFrames[Time_s],"&lt;"&amp;(F168+$H$68/120)),NA())</f>
        <v>#N/A</v>
      </c>
      <c r="H168" s="10" t="e">
        <f>IF(I168&gt;0,_xlfn.MAXIFS(tblFrames[FrameTime_ms],tblFrames[Time_s],"&gt;="&amp;F168,tblFrames[Time_s],"&lt;"&amp;(F168+$H$68/120)),NA())</f>
        <v>#N/A</v>
      </c>
      <c r="I168" s="9">
        <f>IF(DataReady,COUNTIFS(tblFrames[Time_s],"&gt;="&amp;F168,tblFrames[Time_s],"&lt;"&amp;(F168+$H$68/120)),0)</f>
        <v>0</v>
      </c>
      <c r="J168" s="9"/>
      <c r="K168" s="9"/>
      <c r="L168" s="9"/>
      <c r="M168" s="9"/>
      <c r="N168" s="9"/>
      <c r="O168" s="9"/>
      <c r="P168" s="9"/>
    </row>
    <row r="169" spans="1:16">
      <c r="A169" s="9"/>
      <c r="B169" s="9"/>
      <c r="C169" s="9"/>
      <c r="D169" s="9"/>
      <c r="E169" s="9"/>
      <c r="F169" s="10">
        <f>IF(DataReady,96*$H$68/120,0)</f>
        <v>0</v>
      </c>
      <c r="G169" s="10" t="e">
        <f>IF(I169&gt;0,AVERAGEIFS(tblFrames[FrameTime_ms],tblFrames[Time_s],"&gt;="&amp;F169,tblFrames[Time_s],"&lt;"&amp;(F169+$H$68/120)),NA())</f>
        <v>#N/A</v>
      </c>
      <c r="H169" s="10" t="e">
        <f>IF(I169&gt;0,_xlfn.MAXIFS(tblFrames[FrameTime_ms],tblFrames[Time_s],"&gt;="&amp;F169,tblFrames[Time_s],"&lt;"&amp;(F169+$H$68/120)),NA())</f>
        <v>#N/A</v>
      </c>
      <c r="I169" s="9">
        <f>IF(DataReady,COUNTIFS(tblFrames[Time_s],"&gt;="&amp;F169,tblFrames[Time_s],"&lt;"&amp;(F169+$H$68/120)),0)</f>
        <v>0</v>
      </c>
      <c r="J169" s="9"/>
      <c r="K169" s="9"/>
      <c r="L169" s="9"/>
      <c r="M169" s="9"/>
      <c r="N169" s="9"/>
      <c r="O169" s="9"/>
      <c r="P169" s="9"/>
    </row>
    <row r="170" spans="1:16">
      <c r="A170" s="9"/>
      <c r="B170" s="9"/>
      <c r="C170" s="9"/>
      <c r="D170" s="9"/>
      <c r="E170" s="9"/>
      <c r="F170" s="10">
        <f>IF(DataReady,97*$H$68/120,0)</f>
        <v>0</v>
      </c>
      <c r="G170" s="10" t="e">
        <f>IF(I170&gt;0,AVERAGEIFS(tblFrames[FrameTime_ms],tblFrames[Time_s],"&gt;="&amp;F170,tblFrames[Time_s],"&lt;"&amp;(F170+$H$68/120)),NA())</f>
        <v>#N/A</v>
      </c>
      <c r="H170" s="10" t="e">
        <f>IF(I170&gt;0,_xlfn.MAXIFS(tblFrames[FrameTime_ms],tblFrames[Time_s],"&gt;="&amp;F170,tblFrames[Time_s],"&lt;"&amp;(F170+$H$68/120)),NA())</f>
        <v>#N/A</v>
      </c>
      <c r="I170" s="9">
        <f>IF(DataReady,COUNTIFS(tblFrames[Time_s],"&gt;="&amp;F170,tblFrames[Time_s],"&lt;"&amp;(F170+$H$68/120)),0)</f>
        <v>0</v>
      </c>
      <c r="J170" s="9"/>
      <c r="K170" s="9"/>
      <c r="L170" s="9"/>
      <c r="M170" s="9"/>
      <c r="N170" s="9"/>
      <c r="O170" s="9"/>
      <c r="P170" s="9"/>
    </row>
    <row r="171" spans="1:16">
      <c r="A171" s="9"/>
      <c r="B171" s="9"/>
      <c r="C171" s="9"/>
      <c r="D171" s="9"/>
      <c r="E171" s="9"/>
      <c r="F171" s="10">
        <f>IF(DataReady,98*$H$68/120,0)</f>
        <v>0</v>
      </c>
      <c r="G171" s="10" t="e">
        <f>IF(I171&gt;0,AVERAGEIFS(tblFrames[FrameTime_ms],tblFrames[Time_s],"&gt;="&amp;F171,tblFrames[Time_s],"&lt;"&amp;(F171+$H$68/120)),NA())</f>
        <v>#N/A</v>
      </c>
      <c r="H171" s="10" t="e">
        <f>IF(I171&gt;0,_xlfn.MAXIFS(tblFrames[FrameTime_ms],tblFrames[Time_s],"&gt;="&amp;F171,tblFrames[Time_s],"&lt;"&amp;(F171+$H$68/120)),NA())</f>
        <v>#N/A</v>
      </c>
      <c r="I171" s="9">
        <f>IF(DataReady,COUNTIFS(tblFrames[Time_s],"&gt;="&amp;F171,tblFrames[Time_s],"&lt;"&amp;(F171+$H$68/120)),0)</f>
        <v>0</v>
      </c>
      <c r="J171" s="9"/>
      <c r="K171" s="9"/>
      <c r="L171" s="9"/>
      <c r="M171" s="9"/>
      <c r="N171" s="9"/>
      <c r="O171" s="9"/>
      <c r="P171" s="9"/>
    </row>
    <row r="172" spans="1:16">
      <c r="A172" s="9"/>
      <c r="B172" s="9"/>
      <c r="C172" s="9"/>
      <c r="D172" s="9"/>
      <c r="E172" s="9"/>
      <c r="F172" s="10">
        <f>IF(DataReady,99*$H$68/120,0)</f>
        <v>0</v>
      </c>
      <c r="G172" s="10" t="e">
        <f>IF(I172&gt;0,AVERAGEIFS(tblFrames[FrameTime_ms],tblFrames[Time_s],"&gt;="&amp;F172,tblFrames[Time_s],"&lt;"&amp;(F172+$H$68/120)),NA())</f>
        <v>#N/A</v>
      </c>
      <c r="H172" s="10" t="e">
        <f>IF(I172&gt;0,_xlfn.MAXIFS(tblFrames[FrameTime_ms],tblFrames[Time_s],"&gt;="&amp;F172,tblFrames[Time_s],"&lt;"&amp;(F172+$H$68/120)),NA())</f>
        <v>#N/A</v>
      </c>
      <c r="I172" s="9">
        <f>IF(DataReady,COUNTIFS(tblFrames[Time_s],"&gt;="&amp;F172,tblFrames[Time_s],"&lt;"&amp;(F172+$H$68/120)),0)</f>
        <v>0</v>
      </c>
      <c r="J172" s="9"/>
      <c r="K172" s="9"/>
      <c r="L172" s="9"/>
      <c r="M172" s="9"/>
      <c r="N172" s="9"/>
      <c r="O172" s="9"/>
      <c r="P172" s="9"/>
    </row>
    <row r="173" spans="1:16">
      <c r="A173" s="9"/>
      <c r="B173" s="9"/>
      <c r="C173" s="9"/>
      <c r="D173" s="9"/>
      <c r="E173" s="9"/>
      <c r="F173" s="10">
        <f>IF(DataReady,100*$H$68/120,0)</f>
        <v>0</v>
      </c>
      <c r="G173" s="10" t="e">
        <f>IF(I173&gt;0,AVERAGEIFS(tblFrames[FrameTime_ms],tblFrames[Time_s],"&gt;="&amp;F173,tblFrames[Time_s],"&lt;"&amp;(F173+$H$68/120)),NA())</f>
        <v>#N/A</v>
      </c>
      <c r="H173" s="10" t="e">
        <f>IF(I173&gt;0,_xlfn.MAXIFS(tblFrames[FrameTime_ms],tblFrames[Time_s],"&gt;="&amp;F173,tblFrames[Time_s],"&lt;"&amp;(F173+$H$68/120)),NA())</f>
        <v>#N/A</v>
      </c>
      <c r="I173" s="9">
        <f>IF(DataReady,COUNTIFS(tblFrames[Time_s],"&gt;="&amp;F173,tblFrames[Time_s],"&lt;"&amp;(F173+$H$68/120)),0)</f>
        <v>0</v>
      </c>
      <c r="J173" s="9"/>
      <c r="K173" s="9"/>
      <c r="L173" s="9"/>
      <c r="M173" s="9"/>
      <c r="N173" s="9"/>
      <c r="O173" s="9"/>
      <c r="P173" s="9"/>
    </row>
    <row r="174" spans="1:16">
      <c r="A174" s="9"/>
      <c r="B174" s="9"/>
      <c r="C174" s="9"/>
      <c r="D174" s="9"/>
      <c r="E174" s="9"/>
      <c r="F174" s="10">
        <f>IF(DataReady,101*$H$68/120,0)</f>
        <v>0</v>
      </c>
      <c r="G174" s="10" t="e">
        <f>IF(I174&gt;0,AVERAGEIFS(tblFrames[FrameTime_ms],tblFrames[Time_s],"&gt;="&amp;F174,tblFrames[Time_s],"&lt;"&amp;(F174+$H$68/120)),NA())</f>
        <v>#N/A</v>
      </c>
      <c r="H174" s="10" t="e">
        <f>IF(I174&gt;0,_xlfn.MAXIFS(tblFrames[FrameTime_ms],tblFrames[Time_s],"&gt;="&amp;F174,tblFrames[Time_s],"&lt;"&amp;(F174+$H$68/120)),NA())</f>
        <v>#N/A</v>
      </c>
      <c r="I174" s="9">
        <f>IF(DataReady,COUNTIFS(tblFrames[Time_s],"&gt;="&amp;F174,tblFrames[Time_s],"&lt;"&amp;(F174+$H$68/120)),0)</f>
        <v>0</v>
      </c>
      <c r="J174" s="9"/>
      <c r="K174" s="9"/>
      <c r="L174" s="9"/>
      <c r="M174" s="9"/>
      <c r="N174" s="9"/>
      <c r="O174" s="9"/>
      <c r="P174" s="9"/>
    </row>
    <row r="175" spans="1:16">
      <c r="A175" s="9"/>
      <c r="B175" s="9"/>
      <c r="C175" s="9"/>
      <c r="D175" s="9"/>
      <c r="E175" s="9"/>
      <c r="F175" s="10">
        <f>IF(DataReady,102*$H$68/120,0)</f>
        <v>0</v>
      </c>
      <c r="G175" s="10" t="e">
        <f>IF(I175&gt;0,AVERAGEIFS(tblFrames[FrameTime_ms],tblFrames[Time_s],"&gt;="&amp;F175,tblFrames[Time_s],"&lt;"&amp;(F175+$H$68/120)),NA())</f>
        <v>#N/A</v>
      </c>
      <c r="H175" s="10" t="e">
        <f>IF(I175&gt;0,_xlfn.MAXIFS(tblFrames[FrameTime_ms],tblFrames[Time_s],"&gt;="&amp;F175,tblFrames[Time_s],"&lt;"&amp;(F175+$H$68/120)),NA())</f>
        <v>#N/A</v>
      </c>
      <c r="I175" s="9">
        <f>IF(DataReady,COUNTIFS(tblFrames[Time_s],"&gt;="&amp;F175,tblFrames[Time_s],"&lt;"&amp;(F175+$H$68/120)),0)</f>
        <v>0</v>
      </c>
      <c r="J175" s="9"/>
      <c r="K175" s="9"/>
      <c r="L175" s="9"/>
      <c r="M175" s="9"/>
      <c r="N175" s="9"/>
      <c r="O175" s="9"/>
      <c r="P175" s="9"/>
    </row>
    <row r="176" spans="1:16">
      <c r="A176" s="9"/>
      <c r="B176" s="9"/>
      <c r="C176" s="9"/>
      <c r="D176" s="9"/>
      <c r="E176" s="9"/>
      <c r="F176" s="10">
        <f>IF(DataReady,103*$H$68/120,0)</f>
        <v>0</v>
      </c>
      <c r="G176" s="10" t="e">
        <f>IF(I176&gt;0,AVERAGEIFS(tblFrames[FrameTime_ms],tblFrames[Time_s],"&gt;="&amp;F176,tblFrames[Time_s],"&lt;"&amp;(F176+$H$68/120)),NA())</f>
        <v>#N/A</v>
      </c>
      <c r="H176" s="10" t="e">
        <f>IF(I176&gt;0,_xlfn.MAXIFS(tblFrames[FrameTime_ms],tblFrames[Time_s],"&gt;="&amp;F176,tblFrames[Time_s],"&lt;"&amp;(F176+$H$68/120)),NA())</f>
        <v>#N/A</v>
      </c>
      <c r="I176" s="9">
        <f>IF(DataReady,COUNTIFS(tblFrames[Time_s],"&gt;="&amp;F176,tblFrames[Time_s],"&lt;"&amp;(F176+$H$68/120)),0)</f>
        <v>0</v>
      </c>
      <c r="J176" s="9"/>
      <c r="K176" s="9"/>
      <c r="L176" s="9"/>
      <c r="M176" s="9"/>
      <c r="N176" s="9"/>
      <c r="O176" s="9"/>
      <c r="P176" s="9"/>
    </row>
    <row r="177" spans="1:16">
      <c r="A177" s="9"/>
      <c r="B177" s="9"/>
      <c r="C177" s="9"/>
      <c r="D177" s="9"/>
      <c r="E177" s="9"/>
      <c r="F177" s="10">
        <f>IF(DataReady,104*$H$68/120,0)</f>
        <v>0</v>
      </c>
      <c r="G177" s="10" t="e">
        <f>IF(I177&gt;0,AVERAGEIFS(tblFrames[FrameTime_ms],tblFrames[Time_s],"&gt;="&amp;F177,tblFrames[Time_s],"&lt;"&amp;(F177+$H$68/120)),NA())</f>
        <v>#N/A</v>
      </c>
      <c r="H177" s="10" t="e">
        <f>IF(I177&gt;0,_xlfn.MAXIFS(tblFrames[FrameTime_ms],tblFrames[Time_s],"&gt;="&amp;F177,tblFrames[Time_s],"&lt;"&amp;(F177+$H$68/120)),NA())</f>
        <v>#N/A</v>
      </c>
      <c r="I177" s="9">
        <f>IF(DataReady,COUNTIFS(tblFrames[Time_s],"&gt;="&amp;F177,tblFrames[Time_s],"&lt;"&amp;(F177+$H$68/120)),0)</f>
        <v>0</v>
      </c>
      <c r="J177" s="9"/>
      <c r="K177" s="9"/>
      <c r="L177" s="9"/>
      <c r="M177" s="9"/>
      <c r="N177" s="9"/>
      <c r="O177" s="9"/>
      <c r="P177" s="9"/>
    </row>
    <row r="178" spans="1:16">
      <c r="A178" s="9"/>
      <c r="B178" s="9"/>
      <c r="C178" s="9"/>
      <c r="D178" s="9"/>
      <c r="E178" s="9"/>
      <c r="F178" s="10">
        <f>IF(DataReady,105*$H$68/120,0)</f>
        <v>0</v>
      </c>
      <c r="G178" s="10" t="e">
        <f>IF(I178&gt;0,AVERAGEIFS(tblFrames[FrameTime_ms],tblFrames[Time_s],"&gt;="&amp;F178,tblFrames[Time_s],"&lt;"&amp;(F178+$H$68/120)),NA())</f>
        <v>#N/A</v>
      </c>
      <c r="H178" s="10" t="e">
        <f>IF(I178&gt;0,_xlfn.MAXIFS(tblFrames[FrameTime_ms],tblFrames[Time_s],"&gt;="&amp;F178,tblFrames[Time_s],"&lt;"&amp;(F178+$H$68/120)),NA())</f>
        <v>#N/A</v>
      </c>
      <c r="I178" s="9">
        <f>IF(DataReady,COUNTIFS(tblFrames[Time_s],"&gt;="&amp;F178,tblFrames[Time_s],"&lt;"&amp;(F178+$H$68/120)),0)</f>
        <v>0</v>
      </c>
      <c r="J178" s="9"/>
      <c r="K178" s="9"/>
      <c r="L178" s="9"/>
      <c r="M178" s="9"/>
      <c r="N178" s="9"/>
      <c r="O178" s="9"/>
      <c r="P178" s="9"/>
    </row>
    <row r="179" spans="1:16">
      <c r="A179" s="9"/>
      <c r="B179" s="9"/>
      <c r="C179" s="9"/>
      <c r="D179" s="9"/>
      <c r="E179" s="9"/>
      <c r="F179" s="10">
        <f>IF(DataReady,106*$H$68/120,0)</f>
        <v>0</v>
      </c>
      <c r="G179" s="10" t="e">
        <f>IF(I179&gt;0,AVERAGEIFS(tblFrames[FrameTime_ms],tblFrames[Time_s],"&gt;="&amp;F179,tblFrames[Time_s],"&lt;"&amp;(F179+$H$68/120)),NA())</f>
        <v>#N/A</v>
      </c>
      <c r="H179" s="10" t="e">
        <f>IF(I179&gt;0,_xlfn.MAXIFS(tblFrames[FrameTime_ms],tblFrames[Time_s],"&gt;="&amp;F179,tblFrames[Time_s],"&lt;"&amp;(F179+$H$68/120)),NA())</f>
        <v>#N/A</v>
      </c>
      <c r="I179" s="9">
        <f>IF(DataReady,COUNTIFS(tblFrames[Time_s],"&gt;="&amp;F179,tblFrames[Time_s],"&lt;"&amp;(F179+$H$68/120)),0)</f>
        <v>0</v>
      </c>
      <c r="J179" s="9"/>
      <c r="K179" s="9"/>
      <c r="L179" s="9"/>
      <c r="M179" s="9"/>
      <c r="N179" s="9"/>
      <c r="O179" s="9"/>
      <c r="P179" s="9"/>
    </row>
    <row r="180" spans="1:16">
      <c r="A180" s="9"/>
      <c r="B180" s="9"/>
      <c r="C180" s="9"/>
      <c r="D180" s="9"/>
      <c r="E180" s="9"/>
      <c r="F180" s="10">
        <f>IF(DataReady,107*$H$68/120,0)</f>
        <v>0</v>
      </c>
      <c r="G180" s="10" t="e">
        <f>IF(I180&gt;0,AVERAGEIFS(tblFrames[FrameTime_ms],tblFrames[Time_s],"&gt;="&amp;F180,tblFrames[Time_s],"&lt;"&amp;(F180+$H$68/120)),NA())</f>
        <v>#N/A</v>
      </c>
      <c r="H180" s="10" t="e">
        <f>IF(I180&gt;0,_xlfn.MAXIFS(tblFrames[FrameTime_ms],tblFrames[Time_s],"&gt;="&amp;F180,tblFrames[Time_s],"&lt;"&amp;(F180+$H$68/120)),NA())</f>
        <v>#N/A</v>
      </c>
      <c r="I180" s="9">
        <f>IF(DataReady,COUNTIFS(tblFrames[Time_s],"&gt;="&amp;F180,tblFrames[Time_s],"&lt;"&amp;(F180+$H$68/120)),0)</f>
        <v>0</v>
      </c>
      <c r="J180" s="9"/>
      <c r="K180" s="9"/>
      <c r="L180" s="9"/>
      <c r="M180" s="9"/>
      <c r="N180" s="9"/>
      <c r="O180" s="9"/>
      <c r="P180" s="9"/>
    </row>
    <row r="181" spans="1:16">
      <c r="A181" s="9"/>
      <c r="B181" s="9"/>
      <c r="C181" s="9"/>
      <c r="D181" s="9"/>
      <c r="E181" s="9"/>
      <c r="F181" s="10">
        <f>IF(DataReady,108*$H$68/120,0)</f>
        <v>0</v>
      </c>
      <c r="G181" s="10" t="e">
        <f>IF(I181&gt;0,AVERAGEIFS(tblFrames[FrameTime_ms],tblFrames[Time_s],"&gt;="&amp;F181,tblFrames[Time_s],"&lt;"&amp;(F181+$H$68/120)),NA())</f>
        <v>#N/A</v>
      </c>
      <c r="H181" s="10" t="e">
        <f>IF(I181&gt;0,_xlfn.MAXIFS(tblFrames[FrameTime_ms],tblFrames[Time_s],"&gt;="&amp;F181,tblFrames[Time_s],"&lt;"&amp;(F181+$H$68/120)),NA())</f>
        <v>#N/A</v>
      </c>
      <c r="I181" s="9">
        <f>IF(DataReady,COUNTIFS(tblFrames[Time_s],"&gt;="&amp;F181,tblFrames[Time_s],"&lt;"&amp;(F181+$H$68/120)),0)</f>
        <v>0</v>
      </c>
      <c r="J181" s="9"/>
      <c r="K181" s="9"/>
      <c r="L181" s="9"/>
      <c r="M181" s="9"/>
      <c r="N181" s="9"/>
      <c r="O181" s="9"/>
      <c r="P181" s="9"/>
    </row>
    <row r="182" spans="1:16">
      <c r="A182" s="9"/>
      <c r="B182" s="9"/>
      <c r="C182" s="9"/>
      <c r="D182" s="9"/>
      <c r="E182" s="9"/>
      <c r="F182" s="10">
        <f>IF(DataReady,109*$H$68/120,0)</f>
        <v>0</v>
      </c>
      <c r="G182" s="10" t="e">
        <f>IF(I182&gt;0,AVERAGEIFS(tblFrames[FrameTime_ms],tblFrames[Time_s],"&gt;="&amp;F182,tblFrames[Time_s],"&lt;"&amp;(F182+$H$68/120)),NA())</f>
        <v>#N/A</v>
      </c>
      <c r="H182" s="10" t="e">
        <f>IF(I182&gt;0,_xlfn.MAXIFS(tblFrames[FrameTime_ms],tblFrames[Time_s],"&gt;="&amp;F182,tblFrames[Time_s],"&lt;"&amp;(F182+$H$68/120)),NA())</f>
        <v>#N/A</v>
      </c>
      <c r="I182" s="9">
        <f>IF(DataReady,COUNTIFS(tblFrames[Time_s],"&gt;="&amp;F182,tblFrames[Time_s],"&lt;"&amp;(F182+$H$68/120)),0)</f>
        <v>0</v>
      </c>
      <c r="J182" s="9"/>
      <c r="K182" s="9"/>
      <c r="L182" s="9"/>
      <c r="M182" s="9"/>
      <c r="N182" s="9"/>
      <c r="O182" s="9"/>
      <c r="P182" s="9"/>
    </row>
    <row r="183" spans="1:16">
      <c r="A183" s="9"/>
      <c r="B183" s="9"/>
      <c r="C183" s="9"/>
      <c r="D183" s="9"/>
      <c r="E183" s="9"/>
      <c r="F183" s="10">
        <f>IF(DataReady,110*$H$68/120,0)</f>
        <v>0</v>
      </c>
      <c r="G183" s="10" t="e">
        <f>IF(I183&gt;0,AVERAGEIFS(tblFrames[FrameTime_ms],tblFrames[Time_s],"&gt;="&amp;F183,tblFrames[Time_s],"&lt;"&amp;(F183+$H$68/120)),NA())</f>
        <v>#N/A</v>
      </c>
      <c r="H183" s="10" t="e">
        <f>IF(I183&gt;0,_xlfn.MAXIFS(tblFrames[FrameTime_ms],tblFrames[Time_s],"&gt;="&amp;F183,tblFrames[Time_s],"&lt;"&amp;(F183+$H$68/120)),NA())</f>
        <v>#N/A</v>
      </c>
      <c r="I183" s="9">
        <f>IF(DataReady,COUNTIFS(tblFrames[Time_s],"&gt;="&amp;F183,tblFrames[Time_s],"&lt;"&amp;(F183+$H$68/120)),0)</f>
        <v>0</v>
      </c>
      <c r="J183" s="9"/>
      <c r="K183" s="9"/>
      <c r="L183" s="9"/>
      <c r="M183" s="9"/>
      <c r="N183" s="9"/>
      <c r="O183" s="9"/>
      <c r="P183" s="9"/>
    </row>
    <row r="184" spans="1:16">
      <c r="A184" s="9"/>
      <c r="B184" s="9"/>
      <c r="C184" s="9"/>
      <c r="D184" s="9"/>
      <c r="E184" s="9"/>
      <c r="F184" s="10">
        <f>IF(DataReady,111*$H$68/120,0)</f>
        <v>0</v>
      </c>
      <c r="G184" s="10" t="e">
        <f>IF(I184&gt;0,AVERAGEIFS(tblFrames[FrameTime_ms],tblFrames[Time_s],"&gt;="&amp;F184,tblFrames[Time_s],"&lt;"&amp;(F184+$H$68/120)),NA())</f>
        <v>#N/A</v>
      </c>
      <c r="H184" s="10" t="e">
        <f>IF(I184&gt;0,_xlfn.MAXIFS(tblFrames[FrameTime_ms],tblFrames[Time_s],"&gt;="&amp;F184,tblFrames[Time_s],"&lt;"&amp;(F184+$H$68/120)),NA())</f>
        <v>#N/A</v>
      </c>
      <c r="I184" s="9">
        <f>IF(DataReady,COUNTIFS(tblFrames[Time_s],"&gt;="&amp;F184,tblFrames[Time_s],"&lt;"&amp;(F184+$H$68/120)),0)</f>
        <v>0</v>
      </c>
      <c r="J184" s="9"/>
      <c r="K184" s="9"/>
      <c r="L184" s="9"/>
      <c r="M184" s="9"/>
      <c r="N184" s="9"/>
      <c r="O184" s="9"/>
      <c r="P184" s="9"/>
    </row>
    <row r="185" spans="1:16">
      <c r="A185" s="9"/>
      <c r="B185" s="9"/>
      <c r="C185" s="9"/>
      <c r="D185" s="9"/>
      <c r="E185" s="9"/>
      <c r="F185" s="10">
        <f>IF(DataReady,112*$H$68/120,0)</f>
        <v>0</v>
      </c>
      <c r="G185" s="10" t="e">
        <f>IF(I185&gt;0,AVERAGEIFS(tblFrames[FrameTime_ms],tblFrames[Time_s],"&gt;="&amp;F185,tblFrames[Time_s],"&lt;"&amp;(F185+$H$68/120)),NA())</f>
        <v>#N/A</v>
      </c>
      <c r="H185" s="10" t="e">
        <f>IF(I185&gt;0,_xlfn.MAXIFS(tblFrames[FrameTime_ms],tblFrames[Time_s],"&gt;="&amp;F185,tblFrames[Time_s],"&lt;"&amp;(F185+$H$68/120)),NA())</f>
        <v>#N/A</v>
      </c>
      <c r="I185" s="9">
        <f>IF(DataReady,COUNTIFS(tblFrames[Time_s],"&gt;="&amp;F185,tblFrames[Time_s],"&lt;"&amp;(F185+$H$68/120)),0)</f>
        <v>0</v>
      </c>
      <c r="J185" s="9"/>
      <c r="K185" s="9"/>
      <c r="L185" s="9"/>
      <c r="M185" s="9"/>
      <c r="N185" s="9"/>
      <c r="O185" s="9"/>
      <c r="P185" s="9"/>
    </row>
    <row r="186" spans="1:16">
      <c r="A186" s="9"/>
      <c r="B186" s="9"/>
      <c r="C186" s="9"/>
      <c r="D186" s="9"/>
      <c r="E186" s="9"/>
      <c r="F186" s="10">
        <f>IF(DataReady,113*$H$68/120,0)</f>
        <v>0</v>
      </c>
      <c r="G186" s="10" t="e">
        <f>IF(I186&gt;0,AVERAGEIFS(tblFrames[FrameTime_ms],tblFrames[Time_s],"&gt;="&amp;F186,tblFrames[Time_s],"&lt;"&amp;(F186+$H$68/120)),NA())</f>
        <v>#N/A</v>
      </c>
      <c r="H186" s="10" t="e">
        <f>IF(I186&gt;0,_xlfn.MAXIFS(tblFrames[FrameTime_ms],tblFrames[Time_s],"&gt;="&amp;F186,tblFrames[Time_s],"&lt;"&amp;(F186+$H$68/120)),NA())</f>
        <v>#N/A</v>
      </c>
      <c r="I186" s="9">
        <f>IF(DataReady,COUNTIFS(tblFrames[Time_s],"&gt;="&amp;F186,tblFrames[Time_s],"&lt;"&amp;(F186+$H$68/120)),0)</f>
        <v>0</v>
      </c>
      <c r="J186" s="9"/>
      <c r="K186" s="9"/>
      <c r="L186" s="9"/>
      <c r="M186" s="9"/>
      <c r="N186" s="9"/>
      <c r="O186" s="9"/>
      <c r="P186" s="9"/>
    </row>
    <row r="187" spans="1:16">
      <c r="A187" s="9"/>
      <c r="B187" s="9"/>
      <c r="C187" s="9"/>
      <c r="D187" s="9"/>
      <c r="E187" s="9"/>
      <c r="F187" s="10">
        <f>IF(DataReady,114*$H$68/120,0)</f>
        <v>0</v>
      </c>
      <c r="G187" s="10" t="e">
        <f>IF(I187&gt;0,AVERAGEIFS(tblFrames[FrameTime_ms],tblFrames[Time_s],"&gt;="&amp;F187,tblFrames[Time_s],"&lt;"&amp;(F187+$H$68/120)),NA())</f>
        <v>#N/A</v>
      </c>
      <c r="H187" s="10" t="e">
        <f>IF(I187&gt;0,_xlfn.MAXIFS(tblFrames[FrameTime_ms],tblFrames[Time_s],"&gt;="&amp;F187,tblFrames[Time_s],"&lt;"&amp;(F187+$H$68/120)),NA())</f>
        <v>#N/A</v>
      </c>
      <c r="I187" s="9">
        <f>IF(DataReady,COUNTIFS(tblFrames[Time_s],"&gt;="&amp;F187,tblFrames[Time_s],"&lt;"&amp;(F187+$H$68/120)),0)</f>
        <v>0</v>
      </c>
      <c r="J187" s="9"/>
      <c r="K187" s="9"/>
      <c r="L187" s="9"/>
      <c r="M187" s="9"/>
      <c r="N187" s="9"/>
      <c r="O187" s="9"/>
      <c r="P187" s="9"/>
    </row>
    <row r="188" spans="1:16">
      <c r="A188" s="9"/>
      <c r="B188" s="9"/>
      <c r="C188" s="9"/>
      <c r="D188" s="9"/>
      <c r="E188" s="9"/>
      <c r="F188" s="10">
        <f>IF(DataReady,115*$H$68/120,0)</f>
        <v>0</v>
      </c>
      <c r="G188" s="10" t="e">
        <f>IF(I188&gt;0,AVERAGEIFS(tblFrames[FrameTime_ms],tblFrames[Time_s],"&gt;="&amp;F188,tblFrames[Time_s],"&lt;"&amp;(F188+$H$68/120)),NA())</f>
        <v>#N/A</v>
      </c>
      <c r="H188" s="10" t="e">
        <f>IF(I188&gt;0,_xlfn.MAXIFS(tblFrames[FrameTime_ms],tblFrames[Time_s],"&gt;="&amp;F188,tblFrames[Time_s],"&lt;"&amp;(F188+$H$68/120)),NA())</f>
        <v>#N/A</v>
      </c>
      <c r="I188" s="9">
        <f>IF(DataReady,COUNTIFS(tblFrames[Time_s],"&gt;="&amp;F188,tblFrames[Time_s],"&lt;"&amp;(F188+$H$68/120)),0)</f>
        <v>0</v>
      </c>
      <c r="J188" s="9"/>
      <c r="K188" s="9"/>
      <c r="L188" s="9"/>
      <c r="M188" s="9"/>
      <c r="N188" s="9"/>
      <c r="O188" s="9"/>
      <c r="P188" s="9"/>
    </row>
    <row r="189" spans="1:16">
      <c r="A189" s="9"/>
      <c r="B189" s="9"/>
      <c r="C189" s="9"/>
      <c r="D189" s="9"/>
      <c r="E189" s="9"/>
      <c r="F189" s="10">
        <f>IF(DataReady,116*$H$68/120,0)</f>
        <v>0</v>
      </c>
      <c r="G189" s="10" t="e">
        <f>IF(I189&gt;0,AVERAGEIFS(tblFrames[FrameTime_ms],tblFrames[Time_s],"&gt;="&amp;F189,tblFrames[Time_s],"&lt;"&amp;(F189+$H$68/120)),NA())</f>
        <v>#N/A</v>
      </c>
      <c r="H189" s="10" t="e">
        <f>IF(I189&gt;0,_xlfn.MAXIFS(tblFrames[FrameTime_ms],tblFrames[Time_s],"&gt;="&amp;F189,tblFrames[Time_s],"&lt;"&amp;(F189+$H$68/120)),NA())</f>
        <v>#N/A</v>
      </c>
      <c r="I189" s="9">
        <f>IF(DataReady,COUNTIFS(tblFrames[Time_s],"&gt;="&amp;F189,tblFrames[Time_s],"&lt;"&amp;(F189+$H$68/120)),0)</f>
        <v>0</v>
      </c>
      <c r="J189" s="9"/>
      <c r="K189" s="9"/>
      <c r="L189" s="9"/>
      <c r="M189" s="9"/>
      <c r="N189" s="9"/>
      <c r="O189" s="9"/>
      <c r="P189" s="9"/>
    </row>
    <row r="190" spans="1:16">
      <c r="A190" s="9"/>
      <c r="B190" s="9"/>
      <c r="C190" s="9"/>
      <c r="D190" s="9"/>
      <c r="E190" s="9"/>
      <c r="F190" s="10">
        <f>IF(DataReady,117*$H$68/120,0)</f>
        <v>0</v>
      </c>
      <c r="G190" s="10" t="e">
        <f>IF(I190&gt;0,AVERAGEIFS(tblFrames[FrameTime_ms],tblFrames[Time_s],"&gt;="&amp;F190,tblFrames[Time_s],"&lt;"&amp;(F190+$H$68/120)),NA())</f>
        <v>#N/A</v>
      </c>
      <c r="H190" s="10" t="e">
        <f>IF(I190&gt;0,_xlfn.MAXIFS(tblFrames[FrameTime_ms],tblFrames[Time_s],"&gt;="&amp;F190,tblFrames[Time_s],"&lt;"&amp;(F190+$H$68/120)),NA())</f>
        <v>#N/A</v>
      </c>
      <c r="I190" s="9">
        <f>IF(DataReady,COUNTIFS(tblFrames[Time_s],"&gt;="&amp;F190,tblFrames[Time_s],"&lt;"&amp;(F190+$H$68/120)),0)</f>
        <v>0</v>
      </c>
      <c r="J190" s="9"/>
      <c r="K190" s="9"/>
      <c r="L190" s="9"/>
      <c r="M190" s="9"/>
      <c r="N190" s="9"/>
      <c r="O190" s="9"/>
      <c r="P190" s="9"/>
    </row>
    <row r="191" spans="1:16">
      <c r="A191" s="9"/>
      <c r="B191" s="9"/>
      <c r="C191" s="9"/>
      <c r="D191" s="9"/>
      <c r="E191" s="9"/>
      <c r="F191" s="10">
        <f>IF(DataReady,118*$H$68/120,0)</f>
        <v>0</v>
      </c>
      <c r="G191" s="10" t="e">
        <f>IF(I191&gt;0,AVERAGEIFS(tblFrames[FrameTime_ms],tblFrames[Time_s],"&gt;="&amp;F191,tblFrames[Time_s],"&lt;"&amp;(F191+$H$68/120)),NA())</f>
        <v>#N/A</v>
      </c>
      <c r="H191" s="10" t="e">
        <f>IF(I191&gt;0,_xlfn.MAXIFS(tblFrames[FrameTime_ms],tblFrames[Time_s],"&gt;="&amp;F191,tblFrames[Time_s],"&lt;"&amp;(F191+$H$68/120)),NA())</f>
        <v>#N/A</v>
      </c>
      <c r="I191" s="9">
        <f>IF(DataReady,COUNTIFS(tblFrames[Time_s],"&gt;="&amp;F191,tblFrames[Time_s],"&lt;"&amp;(F191+$H$68/120)),0)</f>
        <v>0</v>
      </c>
      <c r="J191" s="9"/>
      <c r="K191" s="9"/>
      <c r="L191" s="9"/>
      <c r="M191" s="9"/>
      <c r="N191" s="9"/>
      <c r="O191" s="9"/>
      <c r="P191" s="9"/>
    </row>
    <row r="192" spans="1:16">
      <c r="A192" s="9"/>
      <c r="B192" s="9"/>
      <c r="C192" s="9"/>
      <c r="D192" s="9"/>
      <c r="E192" s="9"/>
      <c r="F192" s="10">
        <f>IF(DataReady,119*$H$68/120,0)</f>
        <v>0</v>
      </c>
      <c r="G192" s="10" t="e">
        <f>IF(I192&gt;0,AVERAGEIFS(tblFrames[FrameTime_ms],tblFrames[Time_s],"&gt;="&amp;F192,tblFrames[Time_s],"&lt;"&amp;(F192+$H$68/120)),NA())</f>
        <v>#N/A</v>
      </c>
      <c r="H192" s="10" t="e">
        <f>IF(I192&gt;0,_xlfn.MAXIFS(tblFrames[FrameTime_ms],tblFrames[Time_s],"&gt;="&amp;F192,tblFrames[Time_s],"&lt;"&amp;(F192+$H$68/120)),NA())</f>
        <v>#N/A</v>
      </c>
      <c r="I192" s="9">
        <f>IF(DataReady,COUNTIFS(tblFrames[Time_s],"&gt;="&amp;F192,tblFrames[Time_s],"&lt;"&amp;(F192+$H$68/120)),0)</f>
        <v>0</v>
      </c>
      <c r="J192" s="9"/>
      <c r="K192" s="9"/>
      <c r="L192" s="9"/>
      <c r="M192" s="9"/>
      <c r="N192" s="9"/>
      <c r="O192" s="9"/>
      <c r="P192" s="9"/>
    </row>
  </sheetData>
  <dataValidations count="1">
    <dataValidation type="list" allowBlank="1" showInputMessage="1" showErrorMessage="1" errorTitle="Izaberi postojeci test" error="RunID se nalazi u listu Testovi. Zatim klikni Ucitaj izabrani test." sqref="D4" xr:uid="{5B2DBA48-1D60-434E-8EC0-A03E750CA898}">
      <formula1>RunIDs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3667A6"/>
  </sheetPr>
  <dimension ref="A1:P75"/>
  <sheetViews>
    <sheetView showGridLines="0" tabSelected="1" zoomScale="85" zoomScaleNormal="85" workbookViewId="0">
      <selection activeCell="D4" sqref="D4"/>
    </sheetView>
  </sheetViews>
  <sheetFormatPr defaultRowHeight="14.25"/>
  <cols>
    <col min="1" max="1" width="11" customWidth="1"/>
    <col min="2" max="2" width="29.625" customWidth="1"/>
    <col min="3" max="3" width="3.625" customWidth="1"/>
    <col min="4" max="4" width="115.625" customWidth="1"/>
    <col min="5" max="16" width="11" customWidth="1"/>
  </cols>
  <sheetData>
    <row r="1" spans="1:16" ht="20.100000000000001" customHeight="1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</row>
    <row r="2" spans="1:16" ht="20.100000000000001" customHeight="1">
      <c r="A2" s="3"/>
      <c r="B2" s="4" t="s">
        <v>30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</row>
    <row r="3" spans="1:16" ht="20.100000000000001" customHeight="1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 ht="32.1" customHeight="1">
      <c r="A4" s="3"/>
      <c r="B4" s="3" t="s">
        <v>31</v>
      </c>
      <c r="C4" s="3"/>
      <c r="D4" s="12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</row>
    <row r="5" spans="1:16" ht="32.1" customHeight="1">
      <c r="A5" s="3"/>
      <c r="B5" s="3" t="s">
        <v>32</v>
      </c>
      <c r="C5" s="3"/>
      <c r="D5" s="12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</row>
    <row r="6" spans="1:16" ht="32.1" customHeight="1">
      <c r="A6" s="3"/>
      <c r="B6" s="3" t="s">
        <v>33</v>
      </c>
      <c r="C6" s="3"/>
      <c r="D6" s="13" t="str">
        <f>D4&amp;IF(D5="","","\"&amp;D5)</f>
        <v/>
      </c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</row>
    <row r="7" spans="1:16" ht="32.1" customHeight="1">
      <c r="A7" s="3"/>
      <c r="B7" s="3" t="s">
        <v>1</v>
      </c>
      <c r="C7" s="3"/>
      <c r="D7" s="13" t="str">
        <f>IF(Pregled!D4="","",Pregled!D4)</f>
        <v/>
      </c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</row>
    <row r="8" spans="1:16" ht="32.1" customHeight="1">
      <c r="A8" s="3"/>
      <c r="B8" s="3" t="s">
        <v>34</v>
      </c>
      <c r="C8" s="3"/>
      <c r="D8" s="12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</row>
    <row r="9" spans="1:16" ht="32.1" customHeight="1">
      <c r="A9" s="3"/>
      <c r="B9" s="3" t="s">
        <v>35</v>
      </c>
      <c r="C9" s="3"/>
      <c r="D9" s="14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</row>
    <row r="10" spans="1:16" ht="32.1" customHeight="1">
      <c r="A10" s="3"/>
      <c r="B10" s="3" t="s">
        <v>36</v>
      </c>
      <c r="C10" s="3"/>
      <c r="D10" s="13" t="s">
        <v>97</v>
      </c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</row>
    <row r="11" spans="1:16" ht="32.1" customHeight="1">
      <c r="A11" s="3"/>
      <c r="B11" s="3" t="s">
        <v>37</v>
      </c>
      <c r="C11" s="3"/>
      <c r="D11" s="1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</row>
    <row r="12" spans="1:16" ht="32.1" customHeight="1">
      <c r="A12" s="3"/>
      <c r="B12" s="3" t="s">
        <v>77</v>
      </c>
      <c r="C12" s="3"/>
      <c r="D12" s="1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</row>
    <row r="13" spans="1:16" ht="32.1" customHeight="1">
      <c r="A13" s="3"/>
      <c r="B13" s="3" t="s">
        <v>78</v>
      </c>
      <c r="C13" s="3"/>
      <c r="D13" s="1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</row>
    <row r="14" spans="1:16" ht="32.1" customHeight="1">
      <c r="A14" s="3"/>
      <c r="B14" s="3" t="s">
        <v>79</v>
      </c>
      <c r="C14" s="3"/>
      <c r="D14" s="13" t="b">
        <f>AND(D10="Spremno",D6=D12,D7=D11,D7&lt;&gt;"")</f>
        <v>0</v>
      </c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</row>
    <row r="15" spans="1:16" ht="30" customHeight="1">
      <c r="A15" s="3"/>
      <c r="B15" s="15" t="s">
        <v>38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3"/>
      <c r="N15" s="3"/>
      <c r="O15" s="3"/>
      <c r="P15" s="3"/>
    </row>
    <row r="16" spans="1:16" ht="30" customHeight="1">
      <c r="A16" s="3"/>
      <c r="B16" s="3" t="s">
        <v>39</v>
      </c>
      <c r="C16" s="3"/>
      <c r="D16" s="13" t="s">
        <v>98</v>
      </c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</row>
    <row r="17" spans="1:16" ht="30" customHeight="1">
      <c r="A17" s="3"/>
      <c r="B17" s="3" t="s">
        <v>40</v>
      </c>
      <c r="C17" s="3"/>
      <c r="D17" s="13" t="s">
        <v>41</v>
      </c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</row>
    <row r="18" spans="1:16" ht="30" customHeight="1">
      <c r="A18" s="3"/>
      <c r="B18" s="3" t="s">
        <v>42</v>
      </c>
      <c r="C18" s="3"/>
      <c r="D18" s="13" t="s">
        <v>43</v>
      </c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</row>
    <row r="19" spans="1:16" ht="30" customHeight="1">
      <c r="A19" s="3"/>
      <c r="B19" s="3" t="s">
        <v>44</v>
      </c>
      <c r="C19" s="3"/>
      <c r="D19" s="13" t="s">
        <v>45</v>
      </c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</row>
    <row r="20" spans="1:16" ht="30" customHeight="1">
      <c r="A20" s="3"/>
      <c r="B20" s="3" t="s">
        <v>46</v>
      </c>
      <c r="C20" s="3"/>
      <c r="D20" s="13" t="s">
        <v>47</v>
      </c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</row>
    <row r="21" spans="1:16" ht="30" customHeight="1">
      <c r="A21" s="3"/>
      <c r="B21" s="3" t="s">
        <v>48</v>
      </c>
      <c r="C21" s="3"/>
      <c r="D21" s="13" t="s">
        <v>99</v>
      </c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</row>
    <row r="22" spans="1:16" ht="30" customHeight="1">
      <c r="A22" s="3"/>
      <c r="B22" s="3" t="s">
        <v>49</v>
      </c>
      <c r="C22" s="3"/>
      <c r="D22" s="13" t="s">
        <v>50</v>
      </c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</row>
    <row r="23" spans="1:16" ht="30" customHeight="1">
      <c r="A23" s="3"/>
      <c r="B23" s="15" t="s">
        <v>51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3"/>
      <c r="N23" s="3"/>
      <c r="O23" s="3"/>
      <c r="P23" s="3"/>
    </row>
    <row r="24" spans="1:16" ht="30" customHeight="1">
      <c r="A24" s="3"/>
      <c r="B24" s="3" t="s">
        <v>52</v>
      </c>
      <c r="C24" s="3"/>
      <c r="D24" s="13" t="s">
        <v>53</v>
      </c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</row>
    <row r="25" spans="1:16" ht="30" customHeight="1">
      <c r="A25" s="3"/>
      <c r="B25" s="3" t="s">
        <v>54</v>
      </c>
      <c r="C25" s="3"/>
      <c r="D25" s="13" t="s">
        <v>55</v>
      </c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</row>
    <row r="26" spans="1:16" ht="30" customHeight="1">
      <c r="A26" s="3"/>
      <c r="B26" s="3" t="s">
        <v>11</v>
      </c>
      <c r="C26" s="3"/>
      <c r="D26" s="13" t="s">
        <v>56</v>
      </c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</row>
    <row r="27" spans="1:16" ht="30" customHeight="1">
      <c r="A27" s="3"/>
      <c r="B27" s="3" t="s">
        <v>57</v>
      </c>
      <c r="C27" s="3"/>
      <c r="D27" s="13" t="s">
        <v>58</v>
      </c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</row>
    <row r="28" spans="1:16" ht="30" customHeight="1">
      <c r="A28" s="3"/>
      <c r="B28" s="3" t="s">
        <v>15</v>
      </c>
      <c r="C28" s="3"/>
      <c r="D28" s="13" t="s">
        <v>59</v>
      </c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</row>
    <row r="29" spans="1:16" ht="30" customHeight="1">
      <c r="A29" s="3"/>
      <c r="B29" s="3" t="s">
        <v>60</v>
      </c>
      <c r="C29" s="3"/>
      <c r="D29" s="13" t="s">
        <v>61</v>
      </c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</row>
    <row r="30" spans="1:16" ht="30" customHeight="1">
      <c r="A30" s="3"/>
      <c r="B30" s="3" t="s">
        <v>62</v>
      </c>
      <c r="C30" s="3"/>
      <c r="D30" s="13" t="s">
        <v>63</v>
      </c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</row>
    <row r="31" spans="1:16" ht="30" customHeight="1">
      <c r="A31" s="3"/>
      <c r="B31" s="3" t="s">
        <v>64</v>
      </c>
      <c r="C31" s="3"/>
      <c r="D31" s="13" t="s">
        <v>65</v>
      </c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</row>
    <row r="32" spans="1:16" ht="30" customHeight="1">
      <c r="A32" s="3"/>
      <c r="B32" s="3" t="s">
        <v>66</v>
      </c>
      <c r="C32" s="3"/>
      <c r="D32" s="13" t="s">
        <v>67</v>
      </c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</row>
    <row r="33" spans="1:16" ht="30" customHeight="1">
      <c r="A33" s="3"/>
      <c r="B33" s="3" t="s">
        <v>68</v>
      </c>
      <c r="C33" s="3"/>
      <c r="D33" s="13" t="s">
        <v>69</v>
      </c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</row>
    <row r="34" spans="1:16" ht="30" customHeight="1">
      <c r="A34" s="3"/>
      <c r="B34" s="3" t="s">
        <v>70</v>
      </c>
      <c r="C34" s="3"/>
      <c r="D34" s="13" t="s">
        <v>71</v>
      </c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</row>
    <row r="35" spans="1:16" ht="30" customHeight="1">
      <c r="A35" s="3"/>
      <c r="B35" s="3" t="s">
        <v>72</v>
      </c>
      <c r="C35" s="3"/>
      <c r="D35" s="13" t="s">
        <v>73</v>
      </c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</row>
    <row r="36" spans="1:16" ht="20.100000000000001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</row>
    <row r="37" spans="1:16" ht="20.100000000000001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</row>
    <row r="38" spans="1:16" ht="20.100000000000001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</row>
    <row r="39" spans="1:16" ht="20.100000000000001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</row>
    <row r="40" spans="1:16" ht="20.100000000000001" customHeight="1">
      <c r="A40" s="3"/>
      <c r="B40" s="3" t="s">
        <v>80</v>
      </c>
      <c r="C40" s="3"/>
      <c r="D40" s="3" t="str">
        <f>IF(COUNTIFS(tblRuns[RunID],SelectedRun,tblRuns[Valid],TRUE)=1,INDEX(tblRuns[Folder],MATCH(SelectedRun,tblRuns[RunID],0)),"")</f>
        <v/>
      </c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</row>
    <row r="41" spans="1:16" ht="20.100000000000001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</row>
    <row r="42" spans="1:16" ht="20.100000000000001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</row>
    <row r="43" spans="1:16" ht="20.100000000000001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</row>
    <row r="44" spans="1:16" ht="20.100000000000001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</row>
    <row r="45" spans="1:16" ht="20.100000000000001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</row>
    <row r="46" spans="1:16" ht="20.100000000000001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</row>
    <row r="47" spans="1:16" ht="20.100000000000001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</row>
    <row r="48" spans="1:16" ht="20.100000000000001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</row>
    <row r="49" spans="1:16" ht="20.100000000000001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</row>
    <row r="50" spans="1:16" ht="20.100000000000001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</row>
    <row r="51" spans="1:16" ht="20.100000000000001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</row>
    <row r="52" spans="1:16" ht="20.100000000000001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</row>
    <row r="53" spans="1:16" ht="20.100000000000001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</row>
    <row r="54" spans="1:16" ht="20.100000000000001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</row>
    <row r="55" spans="1:16" ht="20.100000000000001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</row>
    <row r="56" spans="1:16" ht="20.100000000000001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</row>
    <row r="57" spans="1:16" ht="20.100000000000001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</row>
    <row r="58" spans="1:16" ht="20.100000000000001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</row>
    <row r="59" spans="1:16" ht="20.100000000000001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</row>
    <row r="60" spans="1:16" ht="20.100000000000001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</row>
    <row r="61" spans="1:16" ht="20.100000000000001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</row>
    <row r="62" spans="1:16" ht="20.100000000000001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</row>
    <row r="63" spans="1:16" ht="20.100000000000001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</row>
    <row r="64" spans="1:16" ht="20.100000000000001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</row>
    <row r="65" spans="1:16" ht="20.100000000000001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</row>
    <row r="66" spans="1:16" ht="20.100000000000001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</row>
    <row r="67" spans="1:16" ht="20.100000000000001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</row>
    <row r="68" spans="1:16" ht="20.100000000000001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</row>
    <row r="69" spans="1:16" ht="20.100000000000001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</row>
    <row r="70" spans="1:16" ht="20.100000000000001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</row>
    <row r="71" spans="1:16" ht="20.100000000000001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</row>
    <row r="72" spans="1:16" ht="20.100000000000001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</row>
    <row r="73" spans="1:16" ht="20.100000000000001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</row>
    <row r="74" spans="1:16" ht="20.100000000000001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</row>
    <row r="75" spans="1:16" ht="20.100000000000001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6"/>
  <sheetViews>
    <sheetView showGridLines="0" zoomScale="85" zoomScaleNormal="85" workbookViewId="0">
      <pane xSplit="3" ySplit="5" topLeftCell="D6" activePane="bottomRight" state="frozenSplit"/>
      <selection pane="topRight" activeCell="D1" sqref="D1"/>
      <selection pane="bottomLeft" activeCell="A6" sqref="A6"/>
      <selection pane="bottomRight"/>
    </sheetView>
  </sheetViews>
  <sheetFormatPr defaultRowHeight="14.25"/>
  <cols>
    <col min="1" max="1" width="54.625" customWidth="1"/>
    <col min="2" max="3" width="24.625" customWidth="1"/>
    <col min="4" max="4" width="10.625" customWidth="1"/>
    <col min="5" max="5" width="50.625" customWidth="1"/>
    <col min="6" max="13" width="15.625" customWidth="1"/>
    <col min="14" max="26" width="24.625" customWidth="1"/>
  </cols>
  <sheetData>
    <row r="1" spans="1:26" ht="20.100000000000001" customHeight="1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ht="20.100000000000001" customHeight="1">
      <c r="A2" s="4" t="s">
        <v>74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 ht="20.100000000000001" customHeight="1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ht="20.100000000000001" customHeight="1">
      <c r="A4" s="3" t="s">
        <v>75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 ht="30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</row>
    <row r="6" spans="1:26">
      <c r="A6" s="3"/>
      <c r="B6" s="3"/>
      <c r="C6" s="3"/>
      <c r="D6" s="3"/>
      <c r="E6" s="3"/>
      <c r="F6" s="3"/>
      <c r="G6" s="16"/>
      <c r="H6" s="16"/>
      <c r="I6" s="16"/>
      <c r="J6" s="16"/>
      <c r="K6" s="16"/>
      <c r="L6" s="16"/>
      <c r="M6" s="16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6"/>
  <sheetViews>
    <sheetView showGridLines="0" zoomScale="85" zoomScaleNormal="85" workbookViewId="0">
      <pane ySplit="5" topLeftCell="A6" activePane="bottomLeft" state="frozenSplit"/>
      <selection pane="bottomLeft"/>
    </sheetView>
  </sheetViews>
  <sheetFormatPr defaultRowHeight="14.25"/>
  <cols>
    <col min="1" max="1" width="22.625" customWidth="1"/>
    <col min="2" max="3" width="22.625" style="1" customWidth="1"/>
    <col min="4" max="4" width="22.625" style="2" customWidth="1"/>
    <col min="5" max="16" width="11" customWidth="1"/>
  </cols>
  <sheetData>
    <row r="1" spans="1:16" ht="20.100000000000001" customHeight="1">
      <c r="A1" s="3"/>
      <c r="B1" s="17"/>
      <c r="C1" s="17"/>
      <c r="D1" s="18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</row>
    <row r="2" spans="1:16" ht="20.100000000000001" customHeight="1">
      <c r="A2" s="4" t="s">
        <v>76</v>
      </c>
      <c r="B2" s="17"/>
      <c r="C2" s="17"/>
      <c r="D2" s="18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</row>
    <row r="3" spans="1:16" ht="20.100000000000001" customHeight="1">
      <c r="A3" s="3"/>
      <c r="B3" s="17"/>
      <c r="C3" s="17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 ht="20.100000000000001" customHeight="1">
      <c r="A4" s="3" t="s">
        <v>75</v>
      </c>
      <c r="B4" s="17"/>
      <c r="C4" s="17"/>
      <c r="D4" s="18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</row>
    <row r="5" spans="1:16">
      <c r="A5" s="20"/>
      <c r="B5" s="21"/>
      <c r="C5" s="21"/>
      <c r="D5" s="22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</row>
    <row r="6" spans="1:16">
      <c r="A6" s="3"/>
      <c r="B6" s="17"/>
      <c r="C6" s="17"/>
      <c r="D6" s="18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776B046-9828-4318-BCC9-91C2053EE8A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Pregled</vt:lpstr>
      <vt:lpstr>Podesavanja</vt:lpstr>
      <vt:lpstr>Testovi</vt:lpstr>
      <vt:lpstr>Frejmovi</vt:lpstr>
      <vt:lpstr>DataReady</vt:lpstr>
      <vt:lpstr>ImportFolder</vt:lpstr>
      <vt:lpstr>RunIDs</vt:lpstr>
      <vt:lpstr>SelectedFolder</vt:lpstr>
      <vt:lpstr>SelectedRun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Aleksandar Mladenovic</cp:lastModifiedBy>
  <dcterms:created xsi:type="dcterms:W3CDTF">2026-10-19T09:31:52Z</dcterms:created>
  <dcterms:modified xsi:type="dcterms:W3CDTF">2026-10-19T14:34:49Z</dcterms:modified>
</cp:coreProperties>
</file>